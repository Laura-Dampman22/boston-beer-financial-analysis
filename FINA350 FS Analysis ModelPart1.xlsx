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Users/loriethomas/Downloads/"/>
    </mc:Choice>
  </mc:AlternateContent>
  <xr:revisionPtr revIDLastSave="0" documentId="8_{2F337094-5210-4EA6-B395-5AB972E0885A}" xr6:coauthVersionLast="47" xr6:coauthVersionMax="47" xr10:uidLastSave="{00000000-0000-0000-0000-000000000000}"/>
  <bookViews>
    <workbookView xWindow="0" yWindow="500" windowWidth="25600" windowHeight="14780" firstSheet="2" activeTab="1" xr2:uid="{00000000-000D-0000-FFFF-FFFF00000000}"/>
  </bookViews>
  <sheets>
    <sheet name="Finl Stmts" sheetId="1" r:id="rId1"/>
    <sheet name="Ratios" sheetId="2" r:id="rId2"/>
    <sheet name="Add'l Calc"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3" l="1"/>
  <c r="E29" i="3"/>
  <c r="C29" i="3"/>
  <c r="G28" i="3"/>
  <c r="E28" i="3"/>
  <c r="C28" i="3"/>
  <c r="E22" i="3"/>
  <c r="E31" i="3"/>
  <c r="C31" i="3"/>
  <c r="G31" i="3"/>
  <c r="G30" i="3"/>
  <c r="G32" i="3" s="1"/>
  <c r="C30" i="3"/>
  <c r="C32" i="3" s="1"/>
  <c r="G27" i="3"/>
  <c r="E27" i="3"/>
  <c r="C27" i="3"/>
  <c r="G24" i="3"/>
  <c r="E24" i="3"/>
  <c r="C24" i="3"/>
  <c r="G22" i="3"/>
  <c r="C22" i="3"/>
  <c r="B177" i="2"/>
  <c r="J37" i="1"/>
  <c r="I37" i="1"/>
  <c r="J36" i="1"/>
  <c r="I36" i="1"/>
  <c r="E167" i="2"/>
  <c r="C151" i="2"/>
  <c r="B152" i="2"/>
  <c r="C130" i="2"/>
  <c r="C97" i="2"/>
  <c r="G73" i="2"/>
  <c r="E73" i="2"/>
  <c r="C73" i="2"/>
  <c r="E14" i="2"/>
  <c r="F45" i="1"/>
  <c r="B45" i="1"/>
  <c r="D45" i="1"/>
  <c r="N137" i="1"/>
  <c r="N138" i="1"/>
  <c r="N130" i="1"/>
  <c r="N129" i="1"/>
  <c r="R130" i="1"/>
  <c r="P130" i="1"/>
  <c r="P118" i="1"/>
  <c r="N118" i="1"/>
  <c r="M118" i="1"/>
  <c r="M124" i="1"/>
  <c r="M125" i="1" s="1"/>
  <c r="P124" i="1"/>
  <c r="P125" i="1" s="1"/>
  <c r="N124" i="1"/>
  <c r="N125" i="1" s="1"/>
  <c r="P73" i="1"/>
  <c r="P74" i="1"/>
  <c r="N74" i="1"/>
  <c r="M74" i="1"/>
  <c r="L74" i="1"/>
  <c r="N73" i="1"/>
  <c r="M73" i="1"/>
  <c r="L73" i="1"/>
  <c r="L71" i="1"/>
  <c r="P72" i="1"/>
  <c r="N72" i="1"/>
  <c r="M72" i="1"/>
  <c r="L72" i="1"/>
  <c r="N71" i="1"/>
  <c r="M71" i="1"/>
  <c r="J74" i="1"/>
  <c r="J73" i="1"/>
  <c r="I73" i="1"/>
  <c r="I74" i="1"/>
  <c r="I72" i="1"/>
  <c r="P81" i="1"/>
  <c r="J81" i="1"/>
  <c r="I81" i="1"/>
  <c r="P16" i="1"/>
  <c r="J16" i="1"/>
  <c r="I16" i="1"/>
  <c r="I7" i="1"/>
  <c r="B145" i="2"/>
  <c r="B141" i="1"/>
  <c r="F10" i="1"/>
  <c r="D10" i="1"/>
  <c r="B10" i="1"/>
  <c r="F76" i="1"/>
  <c r="D76" i="1"/>
  <c r="B76" i="1"/>
  <c r="B96" i="1"/>
  <c r="B99" i="1"/>
  <c r="B98" i="1"/>
  <c r="B97" i="1"/>
  <c r="B70" i="1"/>
  <c r="L70" i="1" s="1"/>
  <c r="F39" i="1"/>
  <c r="D39" i="1"/>
  <c r="B39" i="1"/>
  <c r="G18" i="3"/>
  <c r="R129" i="1"/>
  <c r="R131" i="1" s="1"/>
  <c r="P129" i="1"/>
  <c r="P119" i="1"/>
  <c r="N119" i="1"/>
  <c r="M119" i="1"/>
  <c r="P117" i="1"/>
  <c r="N117" i="1"/>
  <c r="M117" i="1"/>
  <c r="P67" i="1"/>
  <c r="I14" i="1" l="1"/>
  <c r="J14" i="1"/>
  <c r="P14" i="1"/>
  <c r="D168" i="2"/>
  <c r="B168" i="2"/>
  <c r="F164" i="2"/>
  <c r="D164" i="2"/>
  <c r="B164" i="2"/>
  <c r="F159" i="2"/>
  <c r="D159" i="2"/>
  <c r="B159" i="2"/>
  <c r="F156" i="2"/>
  <c r="D156" i="2"/>
  <c r="B156" i="2"/>
  <c r="F152" i="2"/>
  <c r="F151" i="2"/>
  <c r="D152" i="2"/>
  <c r="D151" i="2"/>
  <c r="B151" i="2"/>
  <c r="J72" i="1"/>
  <c r="F131" i="2"/>
  <c r="D131" i="2"/>
  <c r="B131" i="2"/>
  <c r="C6" i="3"/>
  <c r="F14" i="2"/>
  <c r="D14" i="2"/>
  <c r="B14" i="2"/>
  <c r="B3" i="2"/>
  <c r="B59" i="2" s="1"/>
  <c r="P18" i="1"/>
  <c r="J18" i="1"/>
  <c r="I18" i="1"/>
  <c r="F125" i="1"/>
  <c r="D125" i="1"/>
  <c r="B125" i="1"/>
  <c r="B67" i="1"/>
  <c r="I67" i="1" s="1"/>
  <c r="B52" i="1"/>
  <c r="P43" i="1"/>
  <c r="P42" i="1"/>
  <c r="P41" i="1"/>
  <c r="P40" i="1"/>
  <c r="P39" i="1"/>
  <c r="P37" i="1"/>
  <c r="P36" i="1"/>
  <c r="P24" i="1"/>
  <c r="P25" i="1"/>
  <c r="P26" i="1"/>
  <c r="P27" i="1"/>
  <c r="P28" i="1"/>
  <c r="P30" i="1"/>
  <c r="P31" i="1"/>
  <c r="P32" i="1"/>
  <c r="P33" i="1"/>
  <c r="P23" i="1"/>
  <c r="P19" i="1"/>
  <c r="P17" i="1"/>
  <c r="P15" i="1"/>
  <c r="P13" i="1"/>
  <c r="P7" i="1"/>
  <c r="P8" i="1"/>
  <c r="P9" i="1"/>
  <c r="P10" i="1"/>
  <c r="P6" i="1"/>
  <c r="D11" i="1"/>
  <c r="P4" i="1"/>
  <c r="L4" i="1"/>
  <c r="I4" i="1"/>
  <c r="D4" i="1"/>
  <c r="F4" i="1" s="1"/>
  <c r="G6" i="3" s="1"/>
  <c r="R138" i="1"/>
  <c r="P138" i="1"/>
  <c r="P121" i="1"/>
  <c r="N121" i="1"/>
  <c r="M121" i="1"/>
  <c r="J25" i="1"/>
  <c r="I25" i="1"/>
  <c r="J31" i="1"/>
  <c r="I31" i="1"/>
  <c r="F29" i="1"/>
  <c r="F22" i="2" s="1"/>
  <c r="D29" i="1"/>
  <c r="D15" i="2" s="1"/>
  <c r="B29" i="1"/>
  <c r="B15" i="2" s="1"/>
  <c r="G151" i="2" l="1"/>
  <c r="D52" i="1"/>
  <c r="M4" i="1"/>
  <c r="F3" i="2"/>
  <c r="F101" i="2" s="1"/>
  <c r="E151" i="2"/>
  <c r="F15" i="2"/>
  <c r="G14" i="2" s="1"/>
  <c r="B22" i="2"/>
  <c r="D22" i="2"/>
  <c r="E6" i="3"/>
  <c r="D3" i="2"/>
  <c r="D101" i="2" s="1"/>
  <c r="B134" i="2"/>
  <c r="B171" i="2" s="1"/>
  <c r="B101" i="2"/>
  <c r="B25" i="2"/>
  <c r="B88" i="2"/>
  <c r="C14" i="2"/>
  <c r="P29" i="1"/>
  <c r="B91" i="1"/>
  <c r="N128" i="1" s="1"/>
  <c r="N133" i="1" s="1"/>
  <c r="J4" i="1"/>
  <c r="L67" i="1"/>
  <c r="F52" i="1"/>
  <c r="F67" i="1"/>
  <c r="N4" i="1"/>
  <c r="D67" i="1"/>
  <c r="B61" i="2"/>
  <c r="D61" i="2"/>
  <c r="F61" i="2"/>
  <c r="F52" i="2"/>
  <c r="F41" i="2"/>
  <c r="F28" i="2"/>
  <c r="P84" i="1"/>
  <c r="P80" i="1"/>
  <c r="P79" i="1"/>
  <c r="P75" i="1"/>
  <c r="P71" i="1"/>
  <c r="P69" i="1"/>
  <c r="P68" i="1"/>
  <c r="B11" i="1"/>
  <c r="F88" i="2" l="1"/>
  <c r="F59" i="2"/>
  <c r="F134" i="2" s="1"/>
  <c r="F171" i="2" s="1"/>
  <c r="F25" i="2"/>
  <c r="D88" i="2"/>
  <c r="D59" i="2"/>
  <c r="D134" i="2" s="1"/>
  <c r="D171" i="2" s="1"/>
  <c r="D25" i="2"/>
  <c r="M67" i="1"/>
  <c r="J67" i="1"/>
  <c r="D91" i="1"/>
  <c r="N67" i="1"/>
  <c r="F91" i="1"/>
  <c r="M116" i="1"/>
  <c r="B144" i="1"/>
  <c r="E30" i="3"/>
  <c r="E32" i="3" s="1"/>
  <c r="G19" i="3"/>
  <c r="E18" i="3"/>
  <c r="E19" i="3" s="1"/>
  <c r="C18" i="3"/>
  <c r="C19" i="3" s="1"/>
  <c r="G178" i="2"/>
  <c r="F177" i="2"/>
  <c r="D177" i="2"/>
  <c r="F145" i="2"/>
  <c r="D145" i="2"/>
  <c r="F140" i="2"/>
  <c r="D140" i="2"/>
  <c r="B140" i="2"/>
  <c r="F136" i="2"/>
  <c r="D136" i="2"/>
  <c r="B136" i="2"/>
  <c r="F111" i="2"/>
  <c r="D111" i="2"/>
  <c r="B111" i="2"/>
  <c r="F107" i="2"/>
  <c r="D107" i="2"/>
  <c r="B107" i="2"/>
  <c r="F103" i="2"/>
  <c r="D103" i="2"/>
  <c r="B103" i="2"/>
  <c r="F90" i="2"/>
  <c r="G90" i="2" s="1"/>
  <c r="D90" i="2"/>
  <c r="E90" i="2" s="1"/>
  <c r="B90" i="2"/>
  <c r="B97" i="2" s="1"/>
  <c r="F66" i="2"/>
  <c r="D66" i="2"/>
  <c r="B66" i="2"/>
  <c r="F69" i="2"/>
  <c r="D69" i="2"/>
  <c r="B69" i="2"/>
  <c r="F55" i="2"/>
  <c r="D55" i="2"/>
  <c r="B55" i="2"/>
  <c r="D52" i="2"/>
  <c r="B52" i="2"/>
  <c r="F51" i="2"/>
  <c r="D51" i="2"/>
  <c r="B51" i="2"/>
  <c r="G40" i="2"/>
  <c r="D41" i="2"/>
  <c r="E40" i="2" s="1"/>
  <c r="B41" i="2"/>
  <c r="C40" i="2" s="1"/>
  <c r="F36" i="2"/>
  <c r="D36" i="2"/>
  <c r="B36" i="2"/>
  <c r="F35" i="2"/>
  <c r="D35" i="2"/>
  <c r="B35" i="2"/>
  <c r="F31" i="2"/>
  <c r="D31" i="2"/>
  <c r="B31" i="2"/>
  <c r="D28" i="2"/>
  <c r="B28" i="2"/>
  <c r="F27" i="2"/>
  <c r="D27" i="2"/>
  <c r="B27" i="2"/>
  <c r="F10" i="2"/>
  <c r="D10" i="2"/>
  <c r="B10" i="2"/>
  <c r="F147" i="1"/>
  <c r="F148" i="1" s="1"/>
  <c r="F163" i="2" s="1"/>
  <c r="G163" i="2" s="1"/>
  <c r="D147" i="1"/>
  <c r="D148" i="1" s="1"/>
  <c r="B147" i="1"/>
  <c r="B148" i="1" s="1"/>
  <c r="F137" i="1"/>
  <c r="D137" i="1"/>
  <c r="B137" i="1"/>
  <c r="N84" i="1"/>
  <c r="M84" i="1"/>
  <c r="L84" i="1"/>
  <c r="J84" i="1"/>
  <c r="I84" i="1"/>
  <c r="F82" i="1"/>
  <c r="N82" i="1" s="1"/>
  <c r="D82" i="1"/>
  <c r="M82" i="1" s="1"/>
  <c r="B82" i="1"/>
  <c r="N81" i="1"/>
  <c r="M81" i="1"/>
  <c r="L81" i="1"/>
  <c r="N80" i="1"/>
  <c r="M80" i="1"/>
  <c r="L80" i="1"/>
  <c r="J80" i="1"/>
  <c r="I80" i="1"/>
  <c r="N79" i="1"/>
  <c r="M79" i="1"/>
  <c r="L79" i="1"/>
  <c r="J79" i="1"/>
  <c r="I79" i="1"/>
  <c r="N75" i="1"/>
  <c r="M75" i="1"/>
  <c r="L75" i="1"/>
  <c r="J75" i="1"/>
  <c r="I75" i="1"/>
  <c r="J71" i="1"/>
  <c r="I71" i="1"/>
  <c r="F70" i="1"/>
  <c r="N70" i="1" s="1"/>
  <c r="D70" i="1"/>
  <c r="M70" i="1" s="1"/>
  <c r="N69" i="1"/>
  <c r="M69" i="1"/>
  <c r="L69" i="1"/>
  <c r="J69" i="1"/>
  <c r="I69" i="1"/>
  <c r="N68" i="1"/>
  <c r="M68" i="1"/>
  <c r="L68" i="1"/>
  <c r="J68" i="1"/>
  <c r="I68" i="1"/>
  <c r="F44" i="1"/>
  <c r="D44" i="1"/>
  <c r="B44" i="1"/>
  <c r="J43" i="1"/>
  <c r="I43" i="1"/>
  <c r="J42" i="1"/>
  <c r="I42" i="1"/>
  <c r="J41" i="1"/>
  <c r="I41" i="1"/>
  <c r="J40" i="1"/>
  <c r="I40" i="1"/>
  <c r="J39" i="1"/>
  <c r="I39" i="1"/>
  <c r="J33" i="1"/>
  <c r="I33" i="1"/>
  <c r="J32" i="1"/>
  <c r="I32" i="1"/>
  <c r="J30" i="1"/>
  <c r="I30" i="1"/>
  <c r="F34" i="1"/>
  <c r="F73" i="2" s="1"/>
  <c r="D7" i="2"/>
  <c r="J28" i="1"/>
  <c r="I28" i="1"/>
  <c r="J27" i="1"/>
  <c r="I27" i="1"/>
  <c r="J26" i="1"/>
  <c r="I26" i="1"/>
  <c r="J24" i="1"/>
  <c r="I24" i="1"/>
  <c r="J23" i="1"/>
  <c r="I23" i="1"/>
  <c r="J19" i="1"/>
  <c r="I19" i="1"/>
  <c r="J17" i="1"/>
  <c r="I17" i="1"/>
  <c r="J15" i="1"/>
  <c r="I15" i="1"/>
  <c r="J13" i="1"/>
  <c r="I13" i="1"/>
  <c r="F11" i="1"/>
  <c r="F6" i="2" s="1"/>
  <c r="J10" i="1"/>
  <c r="I10" i="1"/>
  <c r="J9" i="1"/>
  <c r="I9" i="1"/>
  <c r="J8" i="1"/>
  <c r="D93" i="2" s="1"/>
  <c r="I8" i="1"/>
  <c r="B93" i="2" s="1"/>
  <c r="J7" i="1"/>
  <c r="J6" i="1"/>
  <c r="I6" i="1"/>
  <c r="B144" i="2" l="1"/>
  <c r="F123" i="2"/>
  <c r="F144" i="2"/>
  <c r="G144" i="2" s="1"/>
  <c r="B167" i="2"/>
  <c r="C167" i="2" s="1"/>
  <c r="B163" i="2"/>
  <c r="C163" i="2" s="1"/>
  <c r="D167" i="2"/>
  <c r="D163" i="2"/>
  <c r="E163" i="2" s="1"/>
  <c r="D94" i="2"/>
  <c r="E93" i="2" s="1"/>
  <c r="D81" i="2"/>
  <c r="B94" i="2"/>
  <c r="C93" i="2" s="1"/>
  <c r="B81" i="2"/>
  <c r="D62" i="2"/>
  <c r="D127" i="2" s="1"/>
  <c r="D144" i="2"/>
  <c r="P44" i="1"/>
  <c r="D102" i="2"/>
  <c r="E102" i="2" s="1"/>
  <c r="P116" i="1"/>
  <c r="F144" i="1"/>
  <c r="R128" i="1"/>
  <c r="R133" i="1" s="1"/>
  <c r="P128" i="1"/>
  <c r="P133" i="1" s="1"/>
  <c r="D144" i="1"/>
  <c r="N116" i="1"/>
  <c r="P11" i="1"/>
  <c r="L82" i="1"/>
  <c r="P82" i="1"/>
  <c r="P70" i="1"/>
  <c r="C51" i="2"/>
  <c r="E12" i="3"/>
  <c r="C35" i="2"/>
  <c r="E35" i="2"/>
  <c r="J82" i="1"/>
  <c r="G35" i="2"/>
  <c r="E51" i="2"/>
  <c r="C27" i="2"/>
  <c r="B32" i="2" s="1"/>
  <c r="C31" i="2" s="1"/>
  <c r="C45" i="2" s="1"/>
  <c r="G51" i="2"/>
  <c r="I29" i="1"/>
  <c r="B34" i="1"/>
  <c r="D149" i="2"/>
  <c r="F20" i="1"/>
  <c r="N14" i="1" s="1"/>
  <c r="E144" i="2"/>
  <c r="D141" i="2" s="1"/>
  <c r="E140" i="2" s="1"/>
  <c r="G27" i="2"/>
  <c r="F32" i="2" s="1"/>
  <c r="G31" i="2" s="1"/>
  <c r="B102" i="2"/>
  <c r="C102" i="2" s="1"/>
  <c r="J70" i="1"/>
  <c r="I44" i="1"/>
  <c r="B123" i="2"/>
  <c r="B149" i="2"/>
  <c r="C144" i="2"/>
  <c r="J44" i="1"/>
  <c r="D123" i="2"/>
  <c r="F149" i="2"/>
  <c r="F7" i="2"/>
  <c r="G6" i="2" s="1"/>
  <c r="J29" i="1"/>
  <c r="F11" i="2"/>
  <c r="G10" i="2" s="1"/>
  <c r="D6" i="2"/>
  <c r="E6" i="2" s="1"/>
  <c r="D11" i="2"/>
  <c r="E10" i="2" s="1"/>
  <c r="D97" i="2"/>
  <c r="E97" i="2" s="1"/>
  <c r="J11" i="1"/>
  <c r="I70" i="1"/>
  <c r="F97" i="2"/>
  <c r="G97" i="2" s="1"/>
  <c r="D20" i="1"/>
  <c r="D34" i="1"/>
  <c r="I82" i="1"/>
  <c r="E27" i="2"/>
  <c r="D32" i="2" s="1"/>
  <c r="E31" i="2" s="1"/>
  <c r="B7" i="2"/>
  <c r="G12" i="3"/>
  <c r="B11" i="2"/>
  <c r="C10" i="2" s="1"/>
  <c r="F102" i="2"/>
  <c r="G102" i="2" s="1"/>
  <c r="M14" i="1" l="1"/>
  <c r="M18" i="1"/>
  <c r="D70" i="2"/>
  <c r="E69" i="2" s="1"/>
  <c r="F74" i="2"/>
  <c r="N18" i="1"/>
  <c r="D46" i="1"/>
  <c r="D47" i="1" s="1"/>
  <c r="D73" i="2"/>
  <c r="D74" i="2"/>
  <c r="P34" i="1"/>
  <c r="B73" i="2"/>
  <c r="P45" i="1"/>
  <c r="M45" i="1"/>
  <c r="M31" i="1"/>
  <c r="M25" i="1"/>
  <c r="N31" i="1"/>
  <c r="N25" i="1"/>
  <c r="F119" i="2"/>
  <c r="F56" i="2"/>
  <c r="G55" i="2" s="1"/>
  <c r="F173" i="2" s="1"/>
  <c r="C48" i="2"/>
  <c r="G45" i="2"/>
  <c r="G48" i="2" s="1"/>
  <c r="N15" i="1"/>
  <c r="E61" i="2"/>
  <c r="E45" i="2"/>
  <c r="E48" i="2" s="1"/>
  <c r="N36" i="1"/>
  <c r="F148" i="2"/>
  <c r="G148" i="2" s="1"/>
  <c r="F174" i="2" s="1"/>
  <c r="N8" i="1"/>
  <c r="N37" i="1"/>
  <c r="N13" i="1"/>
  <c r="N7" i="1"/>
  <c r="N44" i="1"/>
  <c r="N27" i="1"/>
  <c r="N11" i="1"/>
  <c r="N42" i="1"/>
  <c r="N43" i="1"/>
  <c r="N17" i="1"/>
  <c r="N41" i="1"/>
  <c r="N19" i="1"/>
  <c r="I34" i="1"/>
  <c r="N26" i="1"/>
  <c r="N32" i="1"/>
  <c r="N39" i="1"/>
  <c r="N28" i="1"/>
  <c r="N6" i="1"/>
  <c r="N30" i="1"/>
  <c r="N24" i="1"/>
  <c r="N16" i="1"/>
  <c r="N34" i="1"/>
  <c r="F115" i="2"/>
  <c r="N23" i="1"/>
  <c r="N10" i="1"/>
  <c r="N40" i="1"/>
  <c r="N29" i="1"/>
  <c r="N9" i="1"/>
  <c r="N33" i="1"/>
  <c r="M43" i="1"/>
  <c r="M37" i="1"/>
  <c r="M30" i="1"/>
  <c r="J20" i="1"/>
  <c r="M13" i="1"/>
  <c r="M8" i="1"/>
  <c r="D148" i="2"/>
  <c r="E148" i="2" s="1"/>
  <c r="D174" i="2" s="1"/>
  <c r="M41" i="1"/>
  <c r="M27" i="1"/>
  <c r="M33" i="1"/>
  <c r="M23" i="1"/>
  <c r="M16" i="1"/>
  <c r="M10" i="1"/>
  <c r="M36" i="1"/>
  <c r="M32" i="1"/>
  <c r="M26" i="1"/>
  <c r="M19" i="1"/>
  <c r="D119" i="2"/>
  <c r="D115" i="2"/>
  <c r="D56" i="2"/>
  <c r="E55" i="2" s="1"/>
  <c r="D173" i="2" s="1"/>
  <c r="M42" i="1"/>
  <c r="M39" i="1"/>
  <c r="M28" i="1"/>
  <c r="M6" i="1"/>
  <c r="M24" i="1"/>
  <c r="M17" i="1"/>
  <c r="M44" i="1"/>
  <c r="M15" i="1"/>
  <c r="M9" i="1"/>
  <c r="M7" i="1"/>
  <c r="M11" i="1"/>
  <c r="M20" i="1" s="1"/>
  <c r="M40" i="1"/>
  <c r="F141" i="2"/>
  <c r="G140" i="2" s="1"/>
  <c r="B141" i="2"/>
  <c r="C140" i="2" s="1"/>
  <c r="B46" i="1"/>
  <c r="I45" i="1"/>
  <c r="B62" i="2"/>
  <c r="B70" i="2"/>
  <c r="C69" i="2" s="1"/>
  <c r="M29" i="1"/>
  <c r="J34" i="1"/>
  <c r="M34" i="1"/>
  <c r="F46" i="1"/>
  <c r="F70" i="2"/>
  <c r="G69" i="2" s="1"/>
  <c r="F62" i="2"/>
  <c r="N45" i="1"/>
  <c r="J45" i="1"/>
  <c r="N20" i="1" l="1"/>
  <c r="P46" i="1"/>
  <c r="M46" i="1"/>
  <c r="N46" i="1"/>
  <c r="I46" i="1"/>
  <c r="F47" i="1"/>
  <c r="J46" i="1"/>
  <c r="B127" i="2"/>
  <c r="C61" i="2"/>
  <c r="F127" i="2"/>
  <c r="G61" i="2"/>
  <c r="B6" i="2" l="1"/>
  <c r="C6" i="2" s="1"/>
  <c r="B20" i="1"/>
  <c r="L18" i="1" s="1"/>
  <c r="I11" i="1"/>
  <c r="C12" i="3"/>
  <c r="L14" i="1" l="1"/>
  <c r="B47" i="1"/>
  <c r="P20" i="1"/>
  <c r="B74" i="2"/>
  <c r="L31" i="1"/>
  <c r="L25" i="1"/>
  <c r="B56" i="2"/>
  <c r="C55" i="2" s="1"/>
  <c r="B173" i="2" s="1"/>
  <c r="L10" i="1"/>
  <c r="L24" i="1"/>
  <c r="L29" i="1"/>
  <c r="L28" i="1"/>
  <c r="L34" i="1"/>
  <c r="L37" i="1"/>
  <c r="B148" i="2"/>
  <c r="C148" i="2" s="1"/>
  <c r="B174" i="2" s="1"/>
  <c r="L15" i="1"/>
  <c r="L40" i="1"/>
  <c r="L43" i="1"/>
  <c r="L30" i="1"/>
  <c r="L17" i="1"/>
  <c r="L8" i="1"/>
  <c r="L19" i="1"/>
  <c r="B119" i="2"/>
  <c r="L36" i="1"/>
  <c r="L23" i="1"/>
  <c r="L33" i="1"/>
  <c r="I20" i="1"/>
  <c r="L27" i="1"/>
  <c r="L9" i="1"/>
  <c r="L13" i="1"/>
  <c r="B115" i="2"/>
  <c r="L6" i="1"/>
  <c r="L45" i="1"/>
  <c r="L11" i="1"/>
  <c r="L26" i="1"/>
  <c r="L32" i="1"/>
  <c r="L7" i="1"/>
  <c r="L16" i="1"/>
  <c r="L41" i="1"/>
  <c r="L42" i="1"/>
  <c r="L39" i="1"/>
  <c r="L44" i="1"/>
  <c r="L20" i="1" l="1"/>
  <c r="L46" i="1"/>
  <c r="B77" i="1"/>
  <c r="B83" i="1"/>
  <c r="B85" i="1"/>
  <c r="B145" i="1" s="1"/>
  <c r="B110" i="2"/>
  <c r="C110" i="2"/>
  <c r="B172" i="2"/>
  <c r="B175" i="2"/>
  <c r="L76" i="1"/>
  <c r="B160" i="2" l="1"/>
  <c r="C159" i="2" s="1"/>
  <c r="B122" i="2"/>
  <c r="C122" i="2" s="1"/>
  <c r="B93" i="1"/>
  <c r="B114" i="1" s="1"/>
  <c r="B118" i="2"/>
  <c r="C118" i="2" s="1"/>
  <c r="B54" i="1"/>
  <c r="L85" i="1"/>
  <c r="L83" i="1"/>
  <c r="C17" i="3"/>
  <c r="B106" i="2"/>
  <c r="C106" i="2" s="1"/>
  <c r="C8" i="3"/>
  <c r="C34" i="3" s="1"/>
  <c r="B65" i="2"/>
  <c r="C65" i="2" s="1"/>
  <c r="C10" i="3"/>
  <c r="L77" i="1"/>
  <c r="B114" i="2"/>
  <c r="C114" i="2" s="1"/>
  <c r="C14" i="3" l="1"/>
  <c r="B126" i="2"/>
  <c r="C126" i="2" s="1"/>
  <c r="B130" i="2"/>
  <c r="B21" i="2"/>
  <c r="C21" i="2" s="1"/>
  <c r="B18" i="2"/>
  <c r="B140" i="1"/>
  <c r="B142" i="1" s="1"/>
  <c r="B137" i="2"/>
  <c r="C136" i="2" s="1"/>
  <c r="B155" i="2"/>
  <c r="C155" i="2" s="1"/>
  <c r="I76" i="1"/>
  <c r="M76" i="1"/>
  <c r="D77" i="1"/>
  <c r="D65" i="2"/>
  <c r="E65" i="2"/>
  <c r="I77" i="1" l="1"/>
  <c r="D83" i="1"/>
  <c r="D114" i="2"/>
  <c r="E114" i="2" s="1"/>
  <c r="E10" i="3"/>
  <c r="D106" i="2"/>
  <c r="E106" i="2" s="1"/>
  <c r="E8" i="3"/>
  <c r="E34" i="3" s="1"/>
  <c r="M77" i="1"/>
  <c r="E14" i="3" l="1"/>
  <c r="D126" i="2"/>
  <c r="E126" i="2" s="1"/>
  <c r="I83" i="1"/>
  <c r="E17" i="3"/>
  <c r="M83" i="1"/>
  <c r="D85" i="1"/>
  <c r="B80" i="2"/>
  <c r="B85" i="2"/>
  <c r="I85" i="1" l="1"/>
  <c r="B84" i="2" s="1"/>
  <c r="D145" i="1"/>
  <c r="D93" i="1"/>
  <c r="D114" i="1" s="1"/>
  <c r="D110" i="2"/>
  <c r="E110" i="2" s="1"/>
  <c r="D172" i="2" s="1"/>
  <c r="D175" i="2" s="1"/>
  <c r="D122" i="2"/>
  <c r="E122" i="2" s="1"/>
  <c r="D118" i="2"/>
  <c r="E118" i="2" s="1"/>
  <c r="D54" i="1"/>
  <c r="M85" i="1"/>
  <c r="D160" i="2"/>
  <c r="E159" i="2" s="1"/>
  <c r="D140" i="1" l="1"/>
  <c r="D142" i="1" s="1"/>
  <c r="D21" i="2"/>
  <c r="E21" i="2" s="1"/>
  <c r="D18" i="2"/>
  <c r="D130" i="2"/>
  <c r="E130" i="2" s="1"/>
  <c r="D155" i="2"/>
  <c r="E155" i="2" s="1"/>
  <c r="D137" i="2"/>
  <c r="E136" i="2" s="1"/>
  <c r="J76" i="1"/>
  <c r="N76" i="1"/>
  <c r="P76" i="1"/>
  <c r="F77" i="1"/>
  <c r="F83" i="1"/>
  <c r="F85" i="1"/>
  <c r="F145" i="1" s="1"/>
  <c r="F93" i="1"/>
  <c r="F114" i="1"/>
  <c r="F140" i="1"/>
  <c r="F142" i="1" s="1"/>
  <c r="F137" i="2" l="1"/>
  <c r="G136" i="2" s="1"/>
  <c r="F155" i="2"/>
  <c r="G155" i="2" s="1"/>
  <c r="F21" i="2"/>
  <c r="G21" i="2" s="1"/>
  <c r="F18" i="2"/>
  <c r="F130" i="2"/>
  <c r="G130" i="2" s="1"/>
  <c r="J85" i="1"/>
  <c r="D84" i="2" s="1"/>
  <c r="F54" i="1"/>
  <c r="F62" i="1" s="1"/>
  <c r="D53" i="1" s="1"/>
  <c r="D62" i="1" s="1"/>
  <c r="B53" i="1" s="1"/>
  <c r="B62" i="1" s="1"/>
  <c r="F110" i="2"/>
  <c r="G110" i="2" s="1"/>
  <c r="F172" i="2" s="1"/>
  <c r="F175" i="2" s="1"/>
  <c r="F118" i="2"/>
  <c r="G118" i="2" s="1"/>
  <c r="F122" i="2"/>
  <c r="G122" i="2" s="1"/>
  <c r="N85" i="1"/>
  <c r="P85" i="1"/>
  <c r="F160" i="2"/>
  <c r="G159" i="2" s="1"/>
  <c r="J83" i="1"/>
  <c r="G17" i="3"/>
  <c r="N83" i="1"/>
  <c r="P83" i="1"/>
  <c r="J77" i="1"/>
  <c r="G10" i="3"/>
  <c r="F114" i="2"/>
  <c r="G114" i="2" s="1"/>
  <c r="F106" i="2"/>
  <c r="G106" i="2" s="1"/>
  <c r="N77" i="1"/>
  <c r="G8" i="3"/>
  <c r="P77" i="1"/>
  <c r="F65" i="2"/>
  <c r="G65" i="2" s="1"/>
  <c r="F126" i="2" l="1"/>
  <c r="G126" i="2" s="1"/>
  <c r="G14" i="3"/>
  <c r="D80" i="2"/>
  <c r="D8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LORIE THOMAS</author>
  </authors>
  <commentList>
    <comment ref="A61" authorId="0" shapeId="0" xr:uid="{00000000-0006-0000-0100-000001000000}">
      <text>
        <r>
          <rPr>
            <sz val="11"/>
            <color rgb="FF000000"/>
            <rFont val="Helvetica Neue"/>
            <family val="2"/>
          </rPr>
          <t xml:space="preserve">LORIE THOMAS:
</t>
        </r>
        <r>
          <rPr>
            <sz val="11"/>
            <color rgb="FF000000"/>
            <rFont val="Helvetica Neue"/>
            <family val="2"/>
          </rPr>
          <t xml:space="preserve">Be certain to include the portion of Long Term debt that is included in Current Liabilities.  That is interest bearing debt.  </t>
        </r>
      </text>
    </comment>
    <comment ref="A69" authorId="0" shapeId="0" xr:uid="{00000000-0006-0000-0100-000002000000}">
      <text>
        <r>
          <rPr>
            <sz val="11"/>
            <color rgb="FF000000"/>
            <rFont val="Helvetica Neue"/>
            <family val="2"/>
          </rPr>
          <t xml:space="preserve">LORIE THOMAS:
</t>
        </r>
        <r>
          <rPr>
            <sz val="11"/>
            <color rgb="FF000000"/>
            <rFont val="Helvetica Neue"/>
            <family val="2"/>
          </rPr>
          <t xml:space="preserve">Be certain to include the portion of Long Term debt that is included in Current Liabilities.  That is interest bearing debt.  </t>
        </r>
      </text>
    </comment>
  </commentList>
</comments>
</file>

<file path=xl/sharedStrings.xml><?xml version="1.0" encoding="utf-8"?>
<sst xmlns="http://schemas.openxmlformats.org/spreadsheetml/2006/main" count="514" uniqueCount="437">
  <si>
    <r>
      <rPr>
        <i/>
        <sz val="10"/>
        <color rgb="FF000000"/>
        <rFont val="Arial"/>
      </rPr>
      <t xml:space="preserve">The Boston Beer Company Inc
</t>
    </r>
    <r>
      <rPr>
        <b/>
        <sz val="10"/>
        <color rgb="FF000000"/>
        <rFont val="Arial"/>
      </rPr>
      <t xml:space="preserve">Balance Sheet
</t>
    </r>
    <r>
      <rPr>
        <b/>
        <i/>
        <sz val="10"/>
        <color rgb="FF000000"/>
        <rFont val="Arial"/>
      </rPr>
      <t>As of  December 31 2023</t>
    </r>
  </si>
  <si>
    <r>
      <rPr>
        <b/>
        <i/>
        <sz val="10"/>
        <color rgb="FF000000"/>
        <rFont val="Arial"/>
      </rPr>
      <t xml:space="preserve">The Boston Beer Company Inc
</t>
    </r>
    <r>
      <rPr>
        <b/>
        <i/>
        <u/>
        <sz val="12"/>
        <color rgb="FF000000"/>
        <rFont val="Arial"/>
      </rPr>
      <t>Comparative</t>
    </r>
    <r>
      <rPr>
        <sz val="12"/>
        <color rgb="FF000000"/>
        <rFont val="Arial"/>
      </rPr>
      <t xml:space="preserve"> </t>
    </r>
    <r>
      <rPr>
        <b/>
        <sz val="10"/>
        <color rgb="FF000000"/>
        <rFont val="Arial"/>
      </rPr>
      <t xml:space="preserve">Balance Sheet
</t>
    </r>
    <r>
      <rPr>
        <b/>
        <i/>
        <sz val="10"/>
        <color rgb="FF000000"/>
        <rFont val="Arial"/>
      </rPr>
      <t>As of December 31 2023</t>
    </r>
  </si>
  <si>
    <r>
      <rPr>
        <i/>
        <sz val="10"/>
        <color rgb="FF000000"/>
        <rFont val="Arial"/>
      </rPr>
      <t xml:space="preserve">The Boston Beer Company Inc
</t>
    </r>
    <r>
      <rPr>
        <b/>
        <u/>
        <sz val="12"/>
        <color rgb="FF000000"/>
        <rFont val="Arial"/>
      </rPr>
      <t>Common Sized</t>
    </r>
    <r>
      <rPr>
        <sz val="10"/>
        <color rgb="FF000000"/>
        <rFont val="Arial"/>
      </rPr>
      <t xml:space="preserve"> </t>
    </r>
    <r>
      <rPr>
        <b/>
        <sz val="10"/>
        <color rgb="FF000000"/>
        <rFont val="Arial"/>
      </rPr>
      <t xml:space="preserve">Balance Sheet
</t>
    </r>
    <r>
      <rPr>
        <b/>
        <i/>
        <sz val="10"/>
        <color rgb="FF000000"/>
        <rFont val="Arial"/>
      </rPr>
      <t>As of December 31 2023</t>
    </r>
  </si>
  <si>
    <r>
      <rPr>
        <i/>
        <sz val="10"/>
        <color rgb="FF000000"/>
        <rFont val="Arial"/>
      </rPr>
      <t xml:space="preserve">Boston Beer Company Inc
</t>
    </r>
    <r>
      <rPr>
        <b/>
        <u/>
        <sz val="12"/>
        <color rgb="FF000000"/>
        <rFont val="Arial"/>
      </rPr>
      <t>Trend Analysis</t>
    </r>
    <r>
      <rPr>
        <b/>
        <sz val="10"/>
        <color rgb="FF000000"/>
        <rFont val="Arial"/>
      </rPr>
      <t xml:space="preserve"> Balance Sheet (% of Base yr )
</t>
    </r>
    <r>
      <rPr>
        <b/>
        <i/>
        <sz val="10"/>
        <color rgb="FF000000"/>
        <rFont val="Arial"/>
      </rPr>
      <t>As of December 31 2023</t>
    </r>
  </si>
  <si>
    <t>Current Assets:</t>
  </si>
  <si>
    <t>Base Year</t>
  </si>
  <si>
    <r>
      <rPr>
        <sz val="10"/>
        <color indexed="8"/>
        <rFont val="Arial"/>
        <family val="2"/>
      </rPr>
      <t xml:space="preserve">Cash &amp; Cash Equivalents </t>
    </r>
    <r>
      <rPr>
        <i/>
        <sz val="10"/>
        <color indexed="8"/>
        <rFont val="Arial"/>
        <family val="2"/>
      </rPr>
      <t>(= Stmt of CF ending Cash Balance</t>
    </r>
    <r>
      <rPr>
        <sz val="10"/>
        <color indexed="8"/>
        <rFont val="Arial"/>
        <family val="2"/>
      </rPr>
      <t>)</t>
    </r>
  </si>
  <si>
    <t xml:space="preserve">Marketable Securities  / Investments/ Restricted Cash </t>
  </si>
  <si>
    <t>Accounts Receivable, net</t>
  </si>
  <si>
    <t>Inventories</t>
  </si>
  <si>
    <t>Prepaid expenses &amp; Other Current Assest &amp; Deferred Income Taxes Receivable</t>
  </si>
  <si>
    <t>Do not analyze this account</t>
  </si>
  <si>
    <t xml:space="preserve">   Total current assets</t>
  </si>
  <si>
    <t>Non-Current Assets:</t>
  </si>
  <si>
    <t>Net Property, Plant &amp; Equipment ( Fixed Assets)</t>
  </si>
  <si>
    <t>Operating Right-of-use Assests</t>
  </si>
  <si>
    <t>Goodwill</t>
  </si>
  <si>
    <t>Marketable Securities/Investments  (long-term)</t>
  </si>
  <si>
    <t>Other intangibles</t>
  </si>
  <si>
    <t xml:space="preserve"> Third-party production prepayments</t>
  </si>
  <si>
    <t>Other Long Term Assets</t>
  </si>
  <si>
    <t>TOTAL ASSETS</t>
  </si>
  <si>
    <t>should = 100%</t>
  </si>
  <si>
    <t>Current Liabilities:</t>
  </si>
  <si>
    <t>Accounts Payable</t>
  </si>
  <si>
    <t>Accrued liabilities</t>
  </si>
  <si>
    <t>Deferred Revenue (Unearned revenue)</t>
  </si>
  <si>
    <t xml:space="preserve">Deferred Income Taxes </t>
  </si>
  <si>
    <t xml:space="preserve">Other liabilities </t>
  </si>
  <si>
    <t>Current portion of Long Term debt (interest bearing debt) + Leases</t>
  </si>
  <si>
    <t xml:space="preserve">   Total current liabilities</t>
  </si>
  <si>
    <t>Deferred Income Taxes - LT</t>
  </si>
  <si>
    <t>Other Liabilities</t>
  </si>
  <si>
    <t>Long term debt (Interest bearing debt)+Leases</t>
  </si>
  <si>
    <t>Total Liabilities</t>
  </si>
  <si>
    <t>Other Equity:</t>
  </si>
  <si>
    <t>Non Controlling Interest (most companies do not have)</t>
  </si>
  <si>
    <t>Preferred Stock (most companies do not have)</t>
  </si>
  <si>
    <t>Common Equity:</t>
  </si>
  <si>
    <t>Common Stock, Class A and Class B</t>
  </si>
  <si>
    <t>Additional Paid in Capital (APIC)</t>
  </si>
  <si>
    <t>Treasury Stock (a negative number)</t>
  </si>
  <si>
    <t>Retained Earnings</t>
  </si>
  <si>
    <t>Other Comprehensive Income (Loss): OCI</t>
  </si>
  <si>
    <t>SubTotal Common Equity</t>
  </si>
  <si>
    <t>Total Equity</t>
  </si>
  <si>
    <t>TOTAL LIABILITIES AND EQUITY</t>
  </si>
  <si>
    <t>NOTE:  Make sure Balance Sheet Balances!  Total Assets = Total Liabilities + Total Equity (This line should = 0:  TA = TL+OE</t>
  </si>
  <si>
    <t xml:space="preserve">Comparative Balance Sheet Analysis:
Cash and cash equivalents saw a significant increase over both years, rising 572% in 2022 and continuing to grow by 65% in 2023. While the growth rate slowed in 2023, the continued increase is a favorable trend for liquidity. 
There was a concerning swing in marketable securities and investments which took a sharp -100% decline in 2022, followed by no reinvestment (0%) in 2023, this follows an unfavorable trend because it means the company was not investing for future growth.  
Accounts receivable saw a substantial increase, rising from 3% in 2021 to 18% in 2023, despite a decline in sales during the same period. This raises concerns about Boston Beer Company’s ability to efficiently convert sales into cash, as a growing accounts receivable balance alongside declining revenue could indicate that customers are taking longer to pay, making it an unfavorable trend. If this trend continues, it may lead to potential cash flow challenges, making it more difficult for the company to cover its expenses or reinvest in operations.
Another concerning shift in current assets was in inventories, which remained unchanged in 2021 (0%) but then declined by 22% in 2023. When paired with decreases in COGS and gross profit over the same period, this indicates an unfavorable trend. If this trend of declining inventory continues, alongside falling gross profit, it raises concerns about the company’s ability to generate revenue and maintain operational stability.
In non-current assets, net property, plant, and equipment (PP&amp;E) declined by 4% in 2023, suggesting a slowdown in capital investment—an unfavorable trend that if it continues may impact future operational capacity.
Operating right-of-use assets continued to decline, from -17% in 2022 to -19% in 2023, alongside further reductions in other tangible assets and third-party production payments. These unfavorable trends indicate decreased investment in key operational resources, which could hinder future growth and limit efficiency improvements.
Conversely, other long-term assets saw substantial growth, increasing by 84% in 2022 and an additional 20% in 2023, signaling a favorable trend. 
Total assets also grew, at a slower pace, rising 2% in 2022 and 1% in 2023. While asset growth has decelerated, the continued expansion remains a positive indicator, suggesting that Boston Beer Company is still increasing its asset base.
Accounts payable, increased by 4% in 2023, reversing the -2% decrease in 2022. This suggests that the company may be taking longer to pay its suppliers. If this trend continues, it could strain supplier relationships, making it an unfavorable trend. 
Accrued liabilities experienced a significant shift, moving from a -31% decrease in 2022 to a 14% increase in 2023 and is concerning because this increase reflects a rise in outstanding obligations. If this trend continues, along with decreased sales, it could heighten cash flow risks and lead to financial instability, indicating an unfavorable trend.
Total current liabilities increased by 9% in 2023, reversing the -20% decrease in 2022, indicating a rise in short-term financial obligations. This unfavorable trend suggests that Boston Beer Company may be relying more on short-term financing, which, if sustained, could lead to liquidity concerns and financial strain.
A favorable shift in long-term liabilities was the 11% decrease in deferred income taxes in 2023, following a 10% increase in 2022. This suggests that Boston Beer Company reduced its deferred tax obligations, which may improve its future tax position.
However, a key concern is the sharp increase in other liabilities, which shifted from a 12% decrease in 2022 to a 13% increase in 2023. This is an unfavorable trend, as the company is taking on additional long-term obligations while facing declining sales and rising short-term liabilities. If this trend continues, it could place further financial strain on the company and impact its long-term stability.
Long-term debt and leases continued to decline, decreasing by 4% from 2022 to 2023, a favorable trend, as it indicates that Boston Beer Company is reducing its long-term financial burdens. 
Total liabilities decreased by 13% in 2022, indicating that Boston Beer Company made significant progress in reducing its financial obligations. However, in 2023, total liabilities remained unchanged at 0%, suggesting that the company halted further debt reduction. While the prior decrease was positive, if this trend continues, the lack of continued liability reduction could be a concern, especially given rising short-term obligations and declining sales, which makes it an unfavorable trend.
A concerning shift in the equity section is the sharp drop in retained earnings, which fell from an 18% increase in 2022 to -4% in 2023. This suggests that Boston Beer Company either experienced net losses or distributed large dividends to shareholders, potentially weakening its financial stability. This follows an unfavorable trend because a decline in retained earnings reduces the company's ability to reinvest in operations or help with any future financial challenges. 
Other comprehensive income (OCI) saw a sharp decline, shifting from an 8% increase to a 73% decrease in 2023, indicating a significant rise in unrealized losses. This is an unfavorable trend because it paints a picture of increased financial pressure in these areas and if it continues it could further weaken the company’s overall financial position and reduce shareholder equity.
The 9% increase in 2022 followed by a slower 1% increase in 2023 for total equity suggests that while equity is still growing, the pace of growth has significantly slowed. While still a favorable trend, the slowdown in equity growth may signal financial headwinds that could limit the company’s ability to fund future expansion.
</t>
  </si>
  <si>
    <t xml:space="preserve">Common Size Balance Sheet:
Current assets as a percentage of total assets increased by 5% each year from 2021 to 2023, which is a favorable trend as it indicates that a larger portion of Boston Beer Company's assets are more liquid. Specifically, cash and cash equivalents rose from 2% in 2021 to 21% in 2023, further strengthening the company’s liquidity position.
However, marketable securities and investments grew by 3% in 2021 but remained unchanged at 0% in both 2022 and 2023. This is an unfavorable trend, suggesting that Boston Beer Company has not been allocating resources toward investments to generate future returns, potentially limiting future growth.
Inventory as a percentage of total assets continuously declined from 2021 to 2023, with a 2% drop from 2022 to 2023. This is an unfavorable trend, as sales also decreased during the same period, indicating that inventory reduction is not a result of strong business operations but rather lower demand.
For long-term assets, net property, plant, and equipment (PP&amp;E) remains the largest component, though it declined from 2021 to 2023, with the most significant drop occurring from 47% in 2022 to 45% in 2023. This is an unfavorable trend, as it suggests a reduction in asset expansion.
Operating right-of-use assets as a percentage of total assets have seen a steady decline, with a 1% decrease each year from 2021 to 2023. This is an unfavorable trend, as it may indicate reduced investment in leased assets, potentially impacting the company’s operational flexibility and long-term growth potential.
Other intangibles have also declined steadily each year from 2021 to 2023, with the largest percentage drop occurring from 7% in 2021 to 5% in 2022. Additionally, third-party production prepayments decreased by 2% each year over the same period. These represent unfavorable trends, indicating that Boston Beer Company's non-current assets are in decline, which could impact the company's long-term growth and strategic flexibility.
Conversely, other long-term assets increased from 1% in 2021 to 3% in 2022 and remained steady at 3% in 2023, representing a favorable trend as it suggests stability or growth in certain non-current asset categories.
Total current liabilities, as a percentage of total assets, decreased from 18% in 2021 to 14% in 2022 but then increased to 16% in 2023. This fluctuation could indicate inconsistent short-term financial management. While the decline in current liabilities from 2021-2022 is favorable as it suggests lower short-term obligations, the subsequent increase in 2023 is unfavorable and raises concerns about rising short-term debt or operational costs.
Accrued liabilities experienced the most significant fluctuations, dropping from 12% in 2021 to 8% in 2022 before rising again to 9% in 2023. This trend suggests variability in the company's short-term obligations and is an unfavorable trend. 
Total liabilities as a percentage of total assets declined from 29% in 2021 to 25% in 2022, where it remained in 2023. This is a favorable trend, as it indicates a reduction in financial leverage and suggests that Boston Beer Company has improved its ability to manage long-term obligations relative to its assets.
In the equity section, total equity increased from 71% in 2021 to 75% in 2022 and remained at 75% in 2023. This is a favorable trend, indicating that Boston Beer Company has strengthened its financial position by relying more on equity rather than liabilities, which reduces financial risk.
Additional paid-in capital saw an increase from 44% in 2022 to 46% in 2023, which indicates a favorable trend, as it suggests the company raised additional capital.
Retained earnings saw a significant increase from 27% in 2021 to 31% in 2022, but then experienced a sharp decline to 29% in 2023. This up-and-down shifting is a mixed trend, the initial increase suggests profitability and reinvestment into the business which is favorable, but the subsequent decline is unfavorable. The decline indicates higher dividend payouts, increased expenses, reduced net income, or a mixture of all three and if this trend continues would raise concerns about sustainability.
</t>
  </si>
  <si>
    <t xml:space="preserve">Trend Analysis:
Boston Beer Company's financial trends reflect a mixed financial picture, balancing strengthened liquidity with reductions in key assets and liabilities in response to declining sales. While some trends indicate improved financial stability, others raise concerns about future growth and strategic investments.
One of the most favorable trends is the 1,012% increase in cash and cash equivalents, which suggests that the company has prioritized liquidity—possibly as a safeguard against lower revenue. Additionally, retained earnings grew by 13%, indicating that the company remained profitable despite declining sales, likely through cost-cutting or operational efficiencies. The 7% increase in additional paid-in capital reflects continued investor confidence, suggesting that external funding sources remain available.
Other long-term assets surged by 120%, which could indicate strategic investments. However, it remains uncertain whether these assets will generate sufficient returns amid lower sales. The 71% reduction in comprehensive income loss is another positive trend, as it suggests that fewer losses are impacting equity, strengthening the company’s overall financial position.
Since the company’s cash reserves have surged while sales have declined, the 100% reduction in marketable securities suggests a shift toward cash conservation. If this was a proactive strategy to enhance liquidity, it can be seen as a favorable trend.
Several trends raise concerns about future growth and operational sustainability. The 22% decline in inventories suggests weaker demand or an effort to clear excess stock. Additionally, net property, plant, and equipment (PP&amp;E) declined by 3%, signaling reduced capital expenditures, which could slow long-term expansion.
The 33% drop in operating right-of-use assets and the 42% decline in other intangibles may reflect asset impairments or divestments, possibly as a way to adjust to the lower sales environment. Furthermore, the 62% reduction in third-party production prepayments signals a significant pullback on future production commitments, aligning with sales declines and suggesting a more cautious approach to resource allocation.
On the liabilities side, long-term debt and leases declined by 33%, which could be viewed positively as it reduces financial obligations. However, it may also indicate that the company is avoiding new investments or expansion, potentially limiting future growth. Similarly, accrued liabilities fell by 21%, likely due to reduced operating expenses, but this could also suggest aggressive cost-cutting that might impact business operations.
</t>
  </si>
  <si>
    <t>Insert Company Name</t>
  </si>
  <si>
    <t>Statement of Owner's Equity</t>
  </si>
  <si>
    <r>
      <rPr>
        <b/>
        <sz val="10"/>
        <color indexed="8"/>
        <rFont val="Arial"/>
        <family val="2"/>
      </rPr>
      <t>Year Ending ? (</t>
    </r>
    <r>
      <rPr>
        <i/>
        <sz val="10"/>
        <color indexed="8"/>
        <rFont val="Arial"/>
        <family val="2"/>
      </rPr>
      <t>insert Month &amp; day</t>
    </r>
    <r>
      <rPr>
        <b/>
        <sz val="10"/>
        <color indexed="8"/>
        <rFont val="Arial"/>
        <family val="2"/>
      </rPr>
      <t>)</t>
    </r>
  </si>
  <si>
    <t>(in thousands or millions?) 7 pts  EXTRA CREDIT</t>
  </si>
  <si>
    <t>Beginning Balance</t>
  </si>
  <si>
    <t>Input this number</t>
  </si>
  <si>
    <r>
      <rPr>
        <b/>
        <sz val="10"/>
        <color indexed="8"/>
        <rFont val="Arial"/>
        <family val="2"/>
      </rPr>
      <t>Add:</t>
    </r>
    <r>
      <rPr>
        <sz val="10"/>
        <color indexed="8"/>
        <rFont val="Arial"/>
        <family val="2"/>
      </rPr>
      <t xml:space="preserve">  Net Income </t>
    </r>
    <r>
      <rPr>
        <i/>
        <sz val="10"/>
        <color indexed="8"/>
        <rFont val="Arial"/>
        <family val="2"/>
      </rPr>
      <t>(This must = Income Stmt)</t>
    </r>
  </si>
  <si>
    <t xml:space="preserve">          Sales of Stock </t>
  </si>
  <si>
    <t xml:space="preserve">         Stock based compensation</t>
  </si>
  <si>
    <r>
      <rPr>
        <b/>
        <sz val="10"/>
        <color indexed="8"/>
        <rFont val="Arial"/>
        <family val="2"/>
      </rPr>
      <t>Less:</t>
    </r>
    <r>
      <rPr>
        <sz val="10"/>
        <color indexed="8"/>
        <rFont val="Arial"/>
        <family val="2"/>
      </rPr>
      <t xml:space="preserve"> Dividends Declared  (show as “-“  amounts)</t>
    </r>
  </si>
  <si>
    <t xml:space="preserve">           Stock repurchases (Treasury Stock)</t>
  </si>
  <si>
    <t>Adjustments for foreign currency &amp; other</t>
  </si>
  <si>
    <t>Ending Balance Capital (Note: Should = “SubTotal Common Equity" on Balance Sheet)</t>
  </si>
  <si>
    <r>
      <rPr>
        <b/>
        <i/>
        <sz val="10"/>
        <color rgb="FF000000"/>
        <rFont val="Arial"/>
      </rPr>
      <t xml:space="preserve">Boston Beer Company Inc
</t>
    </r>
    <r>
      <rPr>
        <b/>
        <sz val="10"/>
        <color rgb="FF000000"/>
        <rFont val="Arial"/>
      </rPr>
      <t>Income Statement
December 30- December 31</t>
    </r>
  </si>
  <si>
    <r>
      <rPr>
        <b/>
        <sz val="10"/>
        <color rgb="FF000000"/>
        <rFont val="Arial"/>
      </rPr>
      <t xml:space="preserve">Boston Beer Company Inc                                                             </t>
    </r>
    <r>
      <rPr>
        <b/>
        <i/>
        <u/>
        <sz val="11"/>
        <color rgb="FF000000"/>
        <rFont val="Arial"/>
      </rPr>
      <t>Comparative</t>
    </r>
    <r>
      <rPr>
        <sz val="10"/>
        <color rgb="FF000000"/>
        <rFont val="Arial"/>
      </rPr>
      <t xml:space="preserve"> </t>
    </r>
    <r>
      <rPr>
        <b/>
        <sz val="10"/>
        <color rgb="FF000000"/>
        <rFont val="Arial"/>
      </rPr>
      <t>Income Statement
December 2023</t>
    </r>
  </si>
  <si>
    <r>
      <rPr>
        <b/>
        <i/>
        <sz val="10"/>
        <color rgb="FF000000"/>
        <rFont val="Arial"/>
      </rPr>
      <t xml:space="preserve">Boston Beer Company Inc
</t>
    </r>
    <r>
      <rPr>
        <b/>
        <i/>
        <u/>
        <sz val="11"/>
        <color rgb="FF000000"/>
        <rFont val="Arial"/>
      </rPr>
      <t>Common Sized</t>
    </r>
    <r>
      <rPr>
        <i/>
        <u/>
        <sz val="11"/>
        <color rgb="FF000000"/>
        <rFont val="Arial"/>
      </rPr>
      <t xml:space="preserve"> </t>
    </r>
    <r>
      <rPr>
        <b/>
        <sz val="10"/>
        <color rgb="FF000000"/>
        <rFont val="Arial"/>
      </rPr>
      <t>Income Statement
December 30 - December 31</t>
    </r>
  </si>
  <si>
    <r>
      <rPr>
        <b/>
        <i/>
        <sz val="10"/>
        <color rgb="FF000000"/>
        <rFont val="Arial"/>
      </rPr>
      <t xml:space="preserve">Boston Beer Compnay Inc
</t>
    </r>
    <r>
      <rPr>
        <b/>
        <i/>
        <u/>
        <sz val="11"/>
        <color rgb="FF000000"/>
        <rFont val="Arial"/>
      </rPr>
      <t>Trend Analysis</t>
    </r>
    <r>
      <rPr>
        <b/>
        <i/>
        <sz val="10"/>
        <color rgb="FF000000"/>
        <rFont val="Arial"/>
      </rPr>
      <t xml:space="preserve"> </t>
    </r>
    <r>
      <rPr>
        <b/>
        <sz val="10"/>
        <color rgb="FF000000"/>
        <rFont val="Arial"/>
      </rPr>
      <t>Income Statement 
December 30 - December 31</t>
    </r>
  </si>
  <si>
    <t>(in thousands or millions?)</t>
  </si>
  <si>
    <t>Sales</t>
  </si>
  <si>
    <t>Cost of Goods Sold</t>
  </si>
  <si>
    <t>Gross Profit</t>
  </si>
  <si>
    <t>Selling / Marketing Expenses</t>
  </si>
  <si>
    <t>impairment of brewery assets</t>
  </si>
  <si>
    <t>impairment of intangible assets</t>
  </si>
  <si>
    <t>contract termination costs and other</t>
  </si>
  <si>
    <t>General &amp; Admin Expenses</t>
  </si>
  <si>
    <t>Total Operating Expenses</t>
  </si>
  <si>
    <t>Operating Profit (EBIT: Earnings before Interest &amp; Taxes)</t>
  </si>
  <si>
    <r>
      <rPr>
        <b/>
        <i/>
        <u/>
        <sz val="10"/>
        <color indexed="8"/>
        <rFont val="Arial"/>
        <family val="2"/>
      </rPr>
      <t>Non-Operating</t>
    </r>
    <r>
      <rPr>
        <i/>
        <u/>
        <sz val="10"/>
        <color indexed="8"/>
        <rFont val="Arial"/>
        <family val="2"/>
      </rPr>
      <t xml:space="preserve"> Income/Gain (Expense/Loss):</t>
    </r>
  </si>
  <si>
    <t>Add:  Other Income (eg, Investment /Interest Income, Gains)</t>
  </si>
  <si>
    <t>Subtract:  (Interest Expense) (show as a -#)</t>
  </si>
  <si>
    <t xml:space="preserve">                (Other Losses)  (show as a -#)</t>
  </si>
  <si>
    <t>Net Non-Operating Income (Expense)</t>
  </si>
  <si>
    <t>Earnings Before Taxes (EBT)</t>
  </si>
  <si>
    <t>Income Tax Expense (aka, provision)</t>
  </si>
  <si>
    <r>
      <t xml:space="preserve">Net Income </t>
    </r>
    <r>
      <rPr>
        <sz val="10"/>
        <color rgb="FF000000"/>
        <rFont val="Arial"/>
        <family val="2"/>
      </rPr>
      <t>(do not subtract noncontrolling interests)</t>
    </r>
  </si>
  <si>
    <t xml:space="preserve">NOTE:  MAKE SURE THE NET INCOME ABOVE = THE NET INCOME IN THE STATEMENT OF OWNER’S EQUITY AND IN THE STATEMENT OF CASH FLOWS.  </t>
  </si>
  <si>
    <t xml:space="preserve">Common size income statement analysis:
Boston Beer Company’s financial performance has shown increasing net income as a percentage of sales over the past three years, but some concerning trends suggest potential sustainability issues. 
Net income increased from 1% in 2021 to 3% in 2022 and 4% in 2023, reflecting improved profitability. Income tax expense also rose from 1% in 2022 to 2% in 2023, aligning with higher earnings. Overall, net income represents a favorable trend as profitability has improved.
Earnings before interest and taxes (EBIT) also increased from 0% in 2021 to 4% in 2022 and 5% in 2023, which would typically be viewed as a positive shift. However, this increase appears to be driven by reduced inventory levels and the sale of investments rather than organic business growth, making it an unsustainable trend if sales continue to decline.
Cost of goods sold (COGS) declined from 61% in 2021 to 58% in 2023, which would generally indicate improved cost efficiency. However, with sales declining during this same period, the lower COGS is likely due to reduced production and demand rather than genuine efficiency improvements, making it an unfavorable trend.
Gross profit increased from 39% in 2021 to 42% in 2023, which under normal circumstances would be favorable. However, since this rise is not the result of increased sales or operational efficiencies, it raises concerns about the company’s ability to sustain profitability in the long run, making this an unfavorable trend as well.
Operating expenses also reflect some challenges, particularly with general and administrative (G&amp;A) expenses, which increased from 6% in 2021 to 9% in 2023. This is an unfavorable trend, as rising administrative costs put pressure on profitability, especially when sales are declining. 
To maintain long-term financial stability, Boston Beer Company must shift its focus toward generating sustainable revenue growth rather than relying on cost-cutting measures and asset sales.
</t>
  </si>
  <si>
    <t xml:space="preserve">Trend Analysis:
Boston Beer Company’s income statement trend analysis reveals significant shifts in financial performance over the period. 
Sales declined by 2%, indicating a slight drop in revenue which is an unfavorable trend. 
Cost of goods sold (COGS) decreased by 8%, which outpaced the decline in sales. While a lower COGS typically improves margins, in this case, it is an unfavorable tend due to reduced production and demand, not true cost efficiencies. As a result, gross profit increased by 7%, reflecting a stronger profit margin despite declining sales, indicating a favorable trend but raises concerns about Boston Beer Company’s future profitability. 
In operating expenses, marketing expenses decreased by 8%, which indicates cost-cutting efforts and a reduction in promotional activities that might impact future sales growth indicating an unfavorable trend. 
General and administrative (G&amp;A) expenses, on the other hand, increased by 31%, which is a concerning trend as higher administrative costs put additional pressure on profitability, making it an unfavorable trend. 
Overall, total operating expenses declined by 5%, driven by reductions in marketing and contract termination costs, with the latter experiencing a 100% decrease. Additionally, impairment of brewery assets declined by 71%, indicating fewer write-downs on asset values. Which makes total operating expenses a favorable trend. 
Earnings before interest and taxes (EBIT) saw an extraordinary 1,150% increase, reflecting significantly improved profitability. However, this sharp rise is likely due to non-recurring factors such as cost reductions and asset sales rather than sustainable revenue growth, making it a favorable trend but it raises serious concerns over sustainability due to Boston Beer Company's decreased sales.  
Similarly, earnings before taxes (EBT) surged by 1,486%, and net income increased by 424%, demonstrating a substantial boost in bottom-line profitability, both following favorable trends. However, the extreme volatility in net non-operating income (a decline of 981% and unfavorable trend) suggests that non-operating items had a major impact on overall financial results, potentially distorting the true profitability of the company’s core operations.
</t>
  </si>
  <si>
    <t xml:space="preserve">Comparative income statement:
Sales showed a troubling outlook, as revenue declined by 4% in 2023 after a 2% increase in 2022, indicating an unfavorable trend.
The cost of goods sold (COGS) fell by 6%, a more substantial decline than the 2% drop in 2022. While a reduction in COGS is typically a positive indicator of cost efficiency, in this case, when combined with the sharp drop in inventory from the balance sheet and declining sales, it suggests lower production volumes rather than improved efficiency, making it an unfavorable trend.
Gross profit declined by 1% in 2023, a stark contrast to the 8% increase seen in 2022. This indicates that despite lower COGS, the declining sales offset any potential profitability gains, signaling a weakening performance at the core business level, which is an unfavorable trend.
Operating expenses were managed effectively, with selling and marketing expenses decreasing by 4%, slightly improving upon the 5% reduction in 2022. Due to selling and marketing expenses only having a moderate drop and not aligning with the drastic drop in sales, this would reflect good financial management on Boston Beer Company's part and would be a favorable trend.
General administrative expenses continued to rise, increasing by 11%, though at a slower pace compared to the 18% increase in 2022. When combined with the decrease in sales, this indicates an unfavorable trend, as expenses are still increasing while revenue declines.
Overall, total operating expenses remained stable at a -2% change. This shows that despite the fluctuations in many individual expense categories, Boston Beer Company has been able to demonstrate effective cost-control measures, making this a favorable trend.
Operating profit (EBIT) surged by 1035% in 2022, followed by a more modest 10% growth in 2023. While the continued rise in operating profit is positive, it falls significantly short of the extraordinary increase seen in the prior year. This suggests that the previous surge was likely driven by one-time cost reductions rather than sustainable profit growth, indicating an unfavorable trend.
Asset impairments presented a significant concern, with the impairment of brewery assets skyrocketing by 94% in 2023, reversing the 85% reduction in 2022. This major write-down negatively impacts profitability, making it an unfavorable trend.
Contract termination costs continued to decline, dropping by 18% after an 82% reduction in 2022. This highlights a decreasing reliance on costly contract adjustments on Boston Beer Company's part, making it a favorable trend.
Non-operating income showed a substantial recovery, with other income and investment gains rebounding by 329%, compared to a severe -2428% decline in 2022. This suggests a strong recovery in investment-related earnings, marking it as a favorable trend.
However, earnings before taxes growth slowed significantly, rising by only 20% in 2023, far below the 1223% increase in 2022. This indicates, once again, that non-core revenue sources are stabilizing rather than driving major profitability gains. If this trend continues, Boston Beer Company could face financial difficulties, making this an unfavorable trend.
Tax expenses further highlight the company's changing financial position. In 2023, income tax expense increased by 38%, contrasting sharply with the tax benefit of -416% in 2022. Given that much of the company's profitability appears to have come from investment-related gains rather than strong operational performance, this increase in tax expense is likely due to taxable gains from non-operating income rather than sustainable business growth. This is an unfavorable trend, as it reflects a reliance on temporary financial gains rather than core business profitability.
Despite these financial shifts, net income grew by 13% in 2023, though this represents a considerable slowdown compared to the 362% increase in 2022. While profitability continues to improve, the reduced growth rate suggests that the extraordinary gains from internal sources from previous years are no longer fueling the bottom line at the same pace. If this trend continues, the company will exhaust their internal factors putting future profitability at risk, making this an unfavorable trend.  
</t>
  </si>
  <si>
    <r>
      <rPr>
        <i/>
        <sz val="11"/>
        <color rgb="FF000000"/>
        <rFont val="Calibri"/>
      </rPr>
      <t xml:space="preserve">Boston Beer Company Inc
</t>
    </r>
    <r>
      <rPr>
        <b/>
        <sz val="12"/>
        <color rgb="FF000000"/>
        <rFont val="Calibri"/>
      </rPr>
      <t xml:space="preserve">Statement of Cash Flows
</t>
    </r>
    <r>
      <rPr>
        <sz val="11"/>
        <color rgb="FF000000"/>
        <rFont val="Calibri"/>
      </rPr>
      <t>Year Ending December 30</t>
    </r>
  </si>
  <si>
    <t>Answers to Question I</t>
  </si>
  <si>
    <t>Cash flow from Operating activities:</t>
  </si>
  <si>
    <t>I1)  OPERATING ACTIVITIES:</t>
  </si>
  <si>
    <r>
      <rPr>
        <sz val="10"/>
        <color indexed="8"/>
        <rFont val="Arial"/>
        <family val="2"/>
      </rPr>
      <t xml:space="preserve">Net Income </t>
    </r>
    <r>
      <rPr>
        <b/>
        <i/>
        <u/>
        <sz val="10"/>
        <color indexed="8"/>
        <rFont val="Arial"/>
        <family val="2"/>
      </rPr>
      <t>(This must = Income Stmt)</t>
    </r>
  </si>
  <si>
    <t>Boston Beer Company’s operations have significantly improved over the past three years. The company has generated positive cash flows from operations in all three years with 56.3 million in 2021, 199.9 million in 2022 and 265.2 million in 2023. 
While 2021's cash flow was relatively weak and caused a funding gap of 90.3 million dollars, the company significantly improved its operating cash flow in 2022 and 2023, leaving them with a surplus of 111.4 million in 2023 and 202.8 million in 2022. However, much of this improvement was due to cost-cutting, inventory reductions, and the elimination of investments, rather than strong sales growth.
So while cash flow from operations was positive each year, the long-term sustainability of these improvements depends on whether the company can stabilize or grow its sales rather than relying on one-time cost reductions.</t>
  </si>
  <si>
    <t xml:space="preserve"> Discontinued Operations/Extraordinary Items onbottom of  Inc. Stmt</t>
  </si>
  <si>
    <t>Depreciation and amortization</t>
  </si>
  <si>
    <t>impairment of intangible asset</t>
  </si>
  <si>
    <t>Impairment of brewery asset</t>
  </si>
  <si>
    <t>Change in right of use assets</t>
  </si>
  <si>
    <t>stock-based compensation expense</t>
  </si>
  <si>
    <t>deferred income taxes</t>
  </si>
  <si>
    <t>Share Based Compensation</t>
  </si>
  <si>
    <t>Other non-cash expense (income)</t>
  </si>
  <si>
    <t>(Gains)/Losses</t>
  </si>
  <si>
    <r>
      <t xml:space="preserve">Change in </t>
    </r>
    <r>
      <rPr>
        <b/>
        <u/>
        <sz val="10"/>
        <color rgb="FF000000"/>
        <rFont val="Arial"/>
        <family val="2"/>
      </rPr>
      <t>Current</t>
    </r>
    <r>
      <rPr>
        <u/>
        <sz val="10"/>
        <color indexed="8"/>
        <rFont val="Arial"/>
        <family val="2"/>
      </rPr>
      <t xml:space="preserve"> </t>
    </r>
    <r>
      <rPr>
        <b/>
        <u/>
        <sz val="10"/>
        <color rgb="FF000000"/>
        <rFont val="Arial"/>
        <family val="2"/>
      </rPr>
      <t>Operating</t>
    </r>
    <r>
      <rPr>
        <u/>
        <sz val="10"/>
        <color indexed="8"/>
        <rFont val="Arial"/>
        <family val="2"/>
      </rPr>
      <t xml:space="preserve"> Assets &amp; Liabilities:</t>
    </r>
  </si>
  <si>
    <t>Change in A/R</t>
  </si>
  <si>
    <t>Change in Inventories</t>
  </si>
  <si>
    <t>Change in prepaids</t>
  </si>
  <si>
    <t>third-party production payments</t>
  </si>
  <si>
    <t>other assets</t>
  </si>
  <si>
    <t>Change in A/P &amp; Accruals</t>
  </si>
  <si>
    <t>Accured expenses, other current Liabilities, and other liablities</t>
  </si>
  <si>
    <t>operating lease liabilities</t>
  </si>
  <si>
    <t>Change in Deferred Income Taxes</t>
  </si>
  <si>
    <t xml:space="preserve">   Cash flow from Operations (Sustainable)</t>
  </si>
  <si>
    <r>
      <t xml:space="preserve">Cash flow from Investing activities: </t>
    </r>
    <r>
      <rPr>
        <u/>
        <sz val="10"/>
        <color rgb="FF000000"/>
        <rFont val="Arial"/>
        <family val="2"/>
      </rPr>
      <t>(transactions w/ long term assets  &amp; investments)</t>
    </r>
  </si>
  <si>
    <t>I2)  INVESTING ACTIVITIES:</t>
  </si>
  <si>
    <t>Hints:</t>
  </si>
  <si>
    <t xml:space="preserve">   Sale or (Purchase) of another Business</t>
  </si>
  <si>
    <t xml:space="preserve">The comparisons on the right show that in 2023, Boston Beer Company was investing in PP&amp;E for future growth because its net investment in fixed assets was positive, meaning that their net investment in fixed assets is higher than the depreciation expense for the year.  
However, in 2022 and 2021, Boston Beer Company was primarily replacing fixed assets rather than investing for future growth, as net investment was negative in both years. This indicates that spending on new property, plant, and equipment was lower than the depreciation expense, meaning the company was not adding to its capacity but simply maintaining existing operations indicating they were not investing for future growth. 
</t>
  </si>
  <si>
    <t>Investment in PP&amp;E</t>
  </si>
  <si>
    <t>Purchase of Fixed Assets</t>
  </si>
  <si>
    <t>Purchase of Fixed Assets/PP&amp;E (tangible assets)</t>
  </si>
  <si>
    <t>purchase of fixed assets/PP&amp;E</t>
  </si>
  <si>
    <t>Proceeds from Sale of Fixed Assets/PP&amp;E</t>
  </si>
  <si>
    <t>Use of existing PP&amp;E</t>
  </si>
  <si>
    <t>depreciation &amp; amortization</t>
  </si>
  <si>
    <t>Proceeds from Sale of Marketable Securities</t>
  </si>
  <si>
    <t>Purchase of marketable securities</t>
  </si>
  <si>
    <t>(Net Investment)  / Net replacement</t>
  </si>
  <si>
    <t>Purchase of Intangible assets</t>
  </si>
  <si>
    <t>Sale of Intangible assets</t>
  </si>
  <si>
    <t>sale of PP&amp;E</t>
  </si>
  <si>
    <t>Other investing activities</t>
  </si>
  <si>
    <t>Depreciation and Amortization</t>
  </si>
  <si>
    <t>Cash flow from Investing activities</t>
  </si>
  <si>
    <t>Net Investment</t>
  </si>
  <si>
    <r>
      <t xml:space="preserve">Cash flow from Financing activities: </t>
    </r>
    <r>
      <rPr>
        <u/>
        <sz val="10"/>
        <color rgb="FF000000"/>
        <rFont val="Arial"/>
        <family val="2"/>
      </rPr>
      <t>(transactions with debt &amp; equity investors)</t>
    </r>
  </si>
  <si>
    <t>I3:  FINANCING ACTIVITIES:</t>
  </si>
  <si>
    <t xml:space="preserve"> Proceeds from new Interest bearing Debt</t>
  </si>
  <si>
    <t>No, Boston Beer Company did not increase its interest-bearing debt over the three-year period. The cash flow from financing activities section shows zero proceeds from new interest-bearing debt and zero payments of interest-bearing debt, indicating that the company's level of interest-bearing debt remained unchanged.</t>
  </si>
  <si>
    <t xml:space="preserve"> Payments of existing Interest bearing Debt </t>
  </si>
  <si>
    <t>New Debt</t>
  </si>
  <si>
    <t>Stock repurchases (ie, Treasury Stock )</t>
  </si>
  <si>
    <t>Re-Payment of Old Debt</t>
  </si>
  <si>
    <t>Proceeds from issuing Stock  (including EE compensation, ESOP)</t>
  </si>
  <si>
    <t>Net increase (decrease) in Debt</t>
  </si>
  <si>
    <t>Payment of tax withholding on stock-based payment awards and investment shares</t>
  </si>
  <si>
    <t xml:space="preserve">   Dividend Payments</t>
  </si>
  <si>
    <t>Line of credit borrowings</t>
  </si>
  <si>
    <t>Line of credit repayments</t>
  </si>
  <si>
    <t xml:space="preserve">   Capitalized Lease Payments and Notes Payable</t>
  </si>
  <si>
    <t>What are the total payments to Shareholders by year? (=sum of dividends+Stock repurchases)</t>
  </si>
  <si>
    <t>Dividends</t>
  </si>
  <si>
    <t>Cash flow from Financing activities</t>
  </si>
  <si>
    <t>Stock repurchases</t>
  </si>
  <si>
    <t>Total</t>
  </si>
  <si>
    <t>Effect of foreign currency exchange rates on  cash &amp; cash equivalents</t>
  </si>
  <si>
    <t>Is Net Income high enough to pay shareholders? In 2023, net income was not high enough to cover shareholder payments, as the company repurchased $92.9M in stock while only earning only $76.3M in net income. In 2022 and 2021, there were no payments to shareholders made.</t>
  </si>
  <si>
    <t>Net Change in cash during year</t>
  </si>
  <si>
    <r>
      <rPr>
        <sz val="10"/>
        <color indexed="8"/>
        <rFont val="Arial"/>
        <family val="2"/>
      </rPr>
      <t xml:space="preserve">Beginning cash balance </t>
    </r>
    <r>
      <rPr>
        <i/>
        <sz val="10"/>
        <color indexed="8"/>
        <rFont val="Arial"/>
        <family val="2"/>
      </rPr>
      <t>(from end of Prior year)</t>
    </r>
  </si>
  <si>
    <r>
      <rPr>
        <b/>
        <sz val="10"/>
        <color indexed="8"/>
        <rFont val="Arial"/>
        <family val="2"/>
      </rPr>
      <t xml:space="preserve">Ending cash balance </t>
    </r>
    <r>
      <rPr>
        <i/>
        <sz val="10"/>
        <color indexed="8"/>
        <rFont val="Arial"/>
        <family val="2"/>
      </rPr>
      <t>(should = Balance Sht Cash Asset)</t>
    </r>
  </si>
  <si>
    <r>
      <t>Is the Ratio</t>
    </r>
    <r>
      <rPr>
        <b/>
        <sz val="10"/>
        <color rgb="FF000000"/>
        <rFont val="Arial"/>
        <family val="2"/>
      </rPr>
      <t xml:space="preserve"> Trend</t>
    </r>
    <r>
      <rPr>
        <sz val="10"/>
        <color indexed="8"/>
        <rFont val="Arial"/>
        <family val="2"/>
      </rPr>
      <t xml:space="preserve"> "Favorable","Unfavorable" or "Stable"?</t>
    </r>
  </si>
  <si>
    <t>Is the ratio itself "Favorable" or "Unfavorable"?</t>
  </si>
  <si>
    <t xml:space="preserve"> Interpretation/Implications of each ratio</t>
  </si>
  <si>
    <r>
      <rPr>
        <b/>
        <sz val="10"/>
        <color rgb="FF000000"/>
        <rFont val="Arial"/>
        <family val="2"/>
      </rPr>
      <t xml:space="preserve">Earnings per Share:  EPS </t>
    </r>
    <r>
      <rPr>
        <sz val="10"/>
        <color indexed="8"/>
        <rFont val="Arial"/>
        <family val="2"/>
      </rPr>
      <t>(use basic EPS from bottom of Income Stmt) OR (= Net Income / # common shares outstanding).  Sb $X.xx.  If more than $10/share, it is likely the # shares o/s is wrong</t>
    </r>
  </si>
  <si>
    <t xml:space="preserve">Favorable  </t>
  </si>
  <si>
    <t xml:space="preserve">Favorable </t>
  </si>
  <si>
    <t xml:space="preserve">Boston Beer Company has successfully increased earnings per share, but the underlying financials reveal some concerns. The decline in sales and inventories suggests potential operational struggles, possibly a shrinking market or weaker demand indicating that EPS growth is driven by cost reductions rather than revenue growth, which is not a sustainable long-term strategy. When we look at the market’s stock price decline this suggests that investors are not confident that EPS growth will continue.
</t>
  </si>
  <si>
    <r>
      <rPr>
        <b/>
        <sz val="10"/>
        <color rgb="FF000000"/>
        <rFont val="Arial"/>
        <family val="2"/>
      </rPr>
      <t>Preferred Dividends</t>
    </r>
    <r>
      <rPr>
        <sz val="10"/>
        <color indexed="8"/>
        <rFont val="Arial"/>
        <family val="2"/>
      </rPr>
      <t xml:space="preserve"> Paid (this is unusual: must have preferred stock) (a + number)</t>
    </r>
  </si>
  <si>
    <r>
      <rPr>
        <sz val="10"/>
        <color rgb="FF000000"/>
        <rFont val="Arial"/>
      </rPr>
      <t xml:space="preserve">Total </t>
    </r>
    <r>
      <rPr>
        <b/>
        <sz val="10"/>
        <color rgb="FF000000"/>
        <rFont val="Arial"/>
      </rPr>
      <t>Common Dividends</t>
    </r>
    <r>
      <rPr>
        <sz val="10"/>
        <color rgb="FF000000"/>
        <rFont val="Arial"/>
      </rPr>
      <t xml:space="preserve"> Paid ( a + number)</t>
    </r>
  </si>
  <si>
    <r>
      <t xml:space="preserve">Common </t>
    </r>
    <r>
      <rPr>
        <b/>
        <sz val="10"/>
        <color rgb="FF000000"/>
        <rFont val="Arial"/>
        <family val="2"/>
      </rPr>
      <t>Dividends/Share</t>
    </r>
    <r>
      <rPr>
        <sz val="10"/>
        <color indexed="8"/>
        <rFont val="Arial"/>
        <family val="2"/>
      </rPr>
      <t xml:space="preserve"> (+#)</t>
    </r>
  </si>
  <si>
    <r>
      <rPr>
        <b/>
        <sz val="10"/>
        <color rgb="FF000000"/>
        <rFont val="Arial"/>
        <family val="2"/>
      </rPr>
      <t>Stock Market Price</t>
    </r>
    <r>
      <rPr>
        <sz val="10"/>
        <color indexed="8"/>
        <rFont val="Arial"/>
        <family val="2"/>
      </rPr>
      <t xml:space="preserve"> </t>
    </r>
    <r>
      <rPr>
        <i/>
        <sz val="10"/>
        <color indexed="8"/>
        <rFont val="Arial"/>
        <family val="2"/>
      </rPr>
      <t>("close" price at year end for each year)-  Source: Yahoo Finance</t>
    </r>
  </si>
  <si>
    <t>Unfavorable</t>
  </si>
  <si>
    <t xml:space="preserve">Unfavorable </t>
  </si>
  <si>
    <t xml:space="preserve">The decline in stock price despite higher EPS suggests investor hesitation and uncertainty. A closer look at Boston Beer Company's cash flow from investing and financing activities reveals that the company is not reinvesting in growth but instead liquidating assets to build up cash reserves. If the trend of rising net income continues while sales remain weak, the company may be relying too heavily on cost-cutting, which could come at the expense of future growth.
</t>
  </si>
  <si>
    <r>
      <rPr>
        <b/>
        <sz val="10"/>
        <color rgb="FF000000"/>
        <rFont val="Arial"/>
      </rPr>
      <t>Number of weighted average Basic common shares outstanding</t>
    </r>
    <r>
      <rPr>
        <sz val="10"/>
        <color rgb="FF000000"/>
        <rFont val="Arial"/>
      </rPr>
      <t xml:space="preserve"> (see bottom of Inc Stmt ) (Note: make sure these are in the</t>
    </r>
    <r>
      <rPr>
        <u/>
        <sz val="10"/>
        <color rgb="FF000000"/>
        <rFont val="Arial"/>
      </rPr>
      <t xml:space="preserve"> same # format as financial statements above</t>
    </r>
    <r>
      <rPr>
        <sz val="10"/>
        <color rgb="FF000000"/>
        <rFont val="Arial"/>
      </rPr>
      <t>)</t>
    </r>
  </si>
  <si>
    <t xml:space="preserve">The stability in the number of weighted average basic common shares outstanding for Boston Beer Company indicates that EPS growth was driven by net income rather than share buybacks. However, despite this growth, the stock price has declined significantly, suggesting investor concerns. While the stable share count is generally favorable, the declining stock price raises questions about market confidence in the company's future performance.
</t>
  </si>
  <si>
    <t>Company Name</t>
  </si>
  <si>
    <t>Boston Beer Company Inc</t>
  </si>
  <si>
    <t>Student Name</t>
  </si>
  <si>
    <t>Laura Dampman</t>
  </si>
  <si>
    <t>Ratio Analysis</t>
  </si>
  <si>
    <r>
      <t xml:space="preserve"> </t>
    </r>
    <r>
      <rPr>
        <b/>
        <i/>
        <sz val="11"/>
        <color indexed="8"/>
        <rFont val="Arial"/>
        <family val="2"/>
      </rPr>
      <t xml:space="preserve"> Liquidity Ratios: </t>
    </r>
    <r>
      <rPr>
        <i/>
        <sz val="11"/>
        <color rgb="FF000000"/>
        <rFont val="Arial"/>
        <family val="2"/>
      </rPr>
      <t>any Going Concern issues?  Can the firm stay in business in the short term?  Should lenders extend credit to this firm?</t>
    </r>
  </si>
  <si>
    <r>
      <t xml:space="preserve">Current Ratio: </t>
    </r>
    <r>
      <rPr>
        <i/>
        <sz val="10"/>
        <color rgb="FF000000"/>
        <rFont val="Arial"/>
        <family val="2"/>
      </rPr>
      <t xml:space="preserve"> measures ability to pay short term debt, but has problem with inventory value and quality of A/R</t>
    </r>
  </si>
  <si>
    <t xml:space="preserve">Trend favorable </t>
  </si>
  <si>
    <t>In 2021 unfavorable and for 2022 to 2023 favorable</t>
  </si>
  <si>
    <t xml:space="preserve">Boston Beer Company's quick ratio showed a favorable trend overall, with the ratio improving each year reflecting improved liquidity. However, in 2021, the ratio itself was unfavorable, indicating liquidity challenges. With total current assets of $345,341 and total current liabilities of $255,106, the company may have struggled to meet short-term obligations. Which is reflected in the funding gap and low operating cash flows for 2021. The company's ratio saw significant improvement in 2022, reflecting better short term financial stability and is reflected in the large increase in cash and cash equivalents in 2022 on the balance sheet. In 2023, the ratio improved but at a much slower pace compared to 2022. This is concerning because while the company is improving their liquidity, the concern is that excess liquidity is not being invested for future growth which is supported by the company's negative investing cash flows from both 2022 and 2023.  
</t>
  </si>
  <si>
    <t>Current assets</t>
  </si>
  <si>
    <t>Current liabilities</t>
  </si>
  <si>
    <r>
      <rPr>
        <b/>
        <sz val="10"/>
        <color rgb="FF000000"/>
        <rFont val="Arial"/>
      </rPr>
      <t xml:space="preserve">Quick Ratio: </t>
    </r>
    <r>
      <rPr>
        <i/>
        <sz val="10"/>
        <color rgb="FF000000"/>
        <rFont val="Arial"/>
      </rPr>
      <t>measures ability to easily pay short term debt &amp; avoids problem of inventory value, but still has A/R quality issue</t>
    </r>
  </si>
  <si>
    <t>Boston Beer Company’s quick ratio showed a favorable trend overall, improving from 0.5 in 2021 to 1.2 in 2022 and 1.6 in 2023, indicating a stronger liquidity position each year. In 2021, the company faced liquidity struggles, with low cash and receivables relative to its liabilities and no reliance on external financing. By 2022, liquidity improved as operating cash flows strengthened, providing better short-term financial stability. In 2023, the quick ratio increased further, suggesting strong financial health, though excess liquidity raises concerns about inefficient reinvestment. Despite improving liquidity, declining sales across all three years indicate that these improvements were driven more by asset management and cost control rather than revenue growth.</t>
  </si>
  <si>
    <t>Cash + marketable securities + Net A/R</t>
  </si>
  <si>
    <r>
      <rPr>
        <b/>
        <sz val="10"/>
        <color rgb="FF000000"/>
        <rFont val="Arial"/>
        <family val="2"/>
      </rPr>
      <t>Cash Ratio</t>
    </r>
    <r>
      <rPr>
        <sz val="10"/>
        <color indexed="8"/>
        <rFont val="Arial"/>
        <family val="2"/>
      </rPr>
      <t xml:space="preserve">: </t>
    </r>
    <r>
      <rPr>
        <i/>
        <sz val="10"/>
        <color rgb="FF000000"/>
        <rFont val="Arial"/>
        <family val="2"/>
      </rPr>
      <t>conservative variation of Quick Ratio: no A/R quality issue &amp; no inventory valuation issue</t>
    </r>
  </si>
  <si>
    <t>Favorable trend</t>
  </si>
  <si>
    <t>In 2021 unfavorable, for 2022 moderate to stable and in 2023 favorable</t>
  </si>
  <si>
    <t xml:space="preserve">Boston Beer Company's cash ratio has shown an overall favorable trend, indicating improved liquidity and a reduced risk of short-term financial distress. In 2021, the company’s cash ratio was unfavorable, signaling that it did not have enough cash to fully cover its current liabilities. By 2022, liquidity had improved, though the ratio remained below the favorable threshold at 88%. In 2023, the ratio moved into the favorable range, suggesting that the company could comfortably meet its short-term liabilities. However, a cash ratio that is too high may also indicate inefficiency, as excess cash sitting idle is not being reinvested to generate returns or support future growth.
</t>
  </si>
  <si>
    <t>Cash + Marketable Securities</t>
  </si>
  <si>
    <r>
      <t xml:space="preserve">Sustainable cash flow: </t>
    </r>
    <r>
      <rPr>
        <i/>
        <sz val="10"/>
        <color rgb="FF000000"/>
        <rFont val="Arial"/>
        <family val="2"/>
      </rPr>
      <t>Cash available to pay investors And invest extra for higher future growth rates in sales</t>
    </r>
  </si>
  <si>
    <t xml:space="preserve">
The trend in Boston Beer Company's sustainable cash flow is favorable, as the company has improved its ability to generate cash available for investors and reinvestment over the past three years. Sustainable cash flow increased significantly from a negative value in 2021,an unfavorable position, to a positive value in 2022, then nearly doubled in 2023.
However, while the cash flow trend appears positive, it is crucial to recognize that Boston Beer Company's operational cash flow is not driven by strong core business performance, as sales have declined. If core sales continue to fall, this improvement may not be sustainable in the long term. Instead, the company may simply be temporarily covering deeper financial issues, much like placing a bandage over a widening gap.
</t>
  </si>
  <si>
    <t>Cash flow from operations (Stmt of CF) - Capital expenditures (Tangible &amp; Intangible asset purchases)</t>
  </si>
  <si>
    <r>
      <t xml:space="preserve">Cash flow ratio: </t>
    </r>
    <r>
      <rPr>
        <i/>
        <sz val="10"/>
        <color rgb="FF000000"/>
        <rFont val="Arial"/>
        <family val="2"/>
      </rPr>
      <t>Ability of cash flow from operations to pay obligations as they become due.</t>
    </r>
  </si>
  <si>
    <t>In 2021 unfavorable, in 2022 moderate to stable and in 2023 favorable</t>
  </si>
  <si>
    <t xml:space="preserve">Boston Beer Company's cash flow ratio has shown an overall favorable trend, steadily improving over the past three years. 
In 2021, the ratio, 0, was unfavorable and considered high risk, as the company did not generate enough operational cash flow to cover its short-term liabilities, relying instead on debt sales to meet its obligations. 
By 2022, the ratio improved to 1, with operational cash flow improving, though it still fell short of fully covering short-term liabilities. 
In 2023, the company finally had enough cash flow from operations to fully cover their short term debt while still having some excess cash remaining. 
This progression indicates that Boston Beer Company moved from financial strain to stability and now enjoys strong liquidity, which would typically position a company well for future growth and investment. However, a key concern is that much of the company’s operational cash flow over this period came from the liquidation of inventory and debt sales, rather than increased sales revenue. Since overall sales declined, relying on internal asset sales and debt to generate cash is unsustainable in the long run, as there is only so much a company can liquidate before depleting its resources.
</t>
  </si>
  <si>
    <t xml:space="preserve">Cash flow from operations (Stmt of CF) </t>
  </si>
  <si>
    <t xml:space="preserve">  Asset Management /Activity Ratios</t>
  </si>
  <si>
    <r>
      <t>Inventory turnover ratio:</t>
    </r>
    <r>
      <rPr>
        <sz val="10"/>
        <color rgb="FF000000"/>
        <rFont val="Arial"/>
        <family val="2"/>
      </rPr>
      <t xml:space="preserve"> </t>
    </r>
    <r>
      <rPr>
        <i/>
        <sz val="10"/>
        <color rgb="FF000000"/>
        <rFont val="Arial"/>
        <family val="2"/>
      </rPr>
      <t># times sell and replace inventory during the year</t>
    </r>
  </si>
  <si>
    <t>Trend is stable</t>
  </si>
  <si>
    <t>In 2021 favorable, in 2022 unfavorable and 2023 favorable agian</t>
  </si>
  <si>
    <t xml:space="preserve">Boston Beer Company's inventory turnover ratio is slightly favorable/stable.
In 2021, with a ratio of 8.4, it shows that company sold and replaced inventory at a reasonable pace.
In 2022 the company's ratio, at 8.4, indicates a slight decrease in turnover suggesting that inventory was moving more slowly. This could have led to potentially higher costs or excess stock, indicating inefficiencies in demand and inability to sell inventory quick enough. Which most certainly put pressure on Boston Beer Company's cash flow. 
In 2023 the increase in turnover suggest improved inventory efficiency. However with inventory dropping by -22% and sales declining during the same time period, this would indicate that the improvement was not due to higher demand but rather cost cutting measures or liquidation. This poses sustainability risks if demand doesn’t rebound and sales increase. 
</t>
  </si>
  <si>
    <t>Average Inventory</t>
  </si>
  <si>
    <r>
      <t xml:space="preserve">Days in Inventory / Inventory Conversion Period: </t>
    </r>
    <r>
      <rPr>
        <i/>
        <sz val="10"/>
        <color rgb="FF000000"/>
        <rFont val="Arial"/>
        <family val="2"/>
      </rPr>
      <t xml:space="preserve"> The average time required to convert raw materials into finished goods (or to purchase products) and then to sell them.</t>
    </r>
  </si>
  <si>
    <t xml:space="preserve">
Boston Beer Company's inventory conversion period in 2021 was favorable at 43 days, indicating the company was efficiently managing its inventory with a good balance between supply and demand, reducing the risk of excess stock.
In 2022, the ratio showed that inventory turnover remained steady, with a slight increase to 44 days, which is somewhat concerning but still suggests continued efficiency.
In 2023, the ratio remained favorable as the days in inventory decreased to 42 days, indicating that products were moving more quickly. While this would typically suggest strong product demand, the company's declining sales in 2023 suggest otherwise. Instead, the decrease in days in inventory likely indicates that Boston Beer Company was liquidating its inventory or offering discounts to clear excess stock.
</t>
  </si>
  <si>
    <t>Inventory Turnover Ratio</t>
  </si>
  <si>
    <t>Trend is favorable</t>
  </si>
  <si>
    <t>Favorable in 2021,2022 and 2023</t>
  </si>
  <si>
    <r>
      <t xml:space="preserve">Days Sales Outstanding (DSO) / Receivables Collection Period:  </t>
    </r>
    <r>
      <rPr>
        <i/>
        <u/>
        <sz val="10"/>
        <color rgb="FF000000"/>
        <rFont val="Arial"/>
        <family val="2"/>
      </rPr>
      <t>The average time to collect cash from credit sales</t>
    </r>
  </si>
  <si>
    <t xml:space="preserve">Boston Beer Company's receivables collection period ratios shows an unfavorable trend with 2021 and 2022's ratio remaining favorable at 10 but then 2023's ratio increasing to 12 which is still efficient but concerning that it is growing. In 2021 and 2022 the company collected payments from customers quickly, well within its 30 day credit policy. In 2023 the ratio slightly grew to 12 but is still far below the company's 30 day credit policy. However the rising trend could indicate slower payments which warrant closer monitoring to prevent future cash flow issues. </t>
  </si>
  <si>
    <t>Net Receivables</t>
  </si>
  <si>
    <t>Trend is unfavorable</t>
  </si>
  <si>
    <t>In 2021 favorable, 2022 favorable and 2023 unfavorable</t>
  </si>
  <si>
    <t>Avg Credit Sales per day (Annual credit sales/365)</t>
  </si>
  <si>
    <t>Note:  Assume the company credit policy is 30 days</t>
  </si>
  <si>
    <r>
      <t xml:space="preserve">Payables turnover </t>
    </r>
    <r>
      <rPr>
        <sz val="10"/>
        <color rgb="FF000000"/>
        <rFont val="Arial"/>
        <family val="2"/>
      </rPr>
      <t>(in days)</t>
    </r>
    <r>
      <rPr>
        <b/>
        <sz val="10"/>
        <color indexed="8"/>
        <rFont val="Arial"/>
        <family val="2"/>
      </rPr>
      <t xml:space="preserve">/Payables Deferral Period:  </t>
    </r>
    <r>
      <rPr>
        <i/>
        <sz val="10"/>
        <color rgb="FF000000"/>
        <rFont val="Arial"/>
        <family val="2"/>
      </rPr>
      <t>Average time between the purchase of materials, labor &amp; products &amp; payment of cash for them</t>
    </r>
    <r>
      <rPr>
        <sz val="10"/>
        <color rgb="FF000000"/>
        <rFont val="Arial"/>
        <family val="2"/>
      </rPr>
      <t xml:space="preserve"> </t>
    </r>
    <r>
      <rPr>
        <b/>
        <sz val="10"/>
        <color indexed="8"/>
        <rFont val="Arial"/>
        <family val="2"/>
      </rPr>
      <t xml:space="preserve">				</t>
    </r>
  </si>
  <si>
    <t xml:space="preserve">Boston Beer Company's payable turnover ratio is overall unfavorable with the days to pay suppliers increasing over time. The ratio for the years 2021 and 2022 were stable, taking the company about 15 days to pay suppliers which is a reasonable time frame. Since 2021 and 2022 ratios are stable, this suggests consistent payment practices for those years. 
In 2023, there was an increase in the payment period suggesting the company is taking slightly longer to pay its suppliers. This is further confirmed with the company's balance sheet, showing an increase in the accounts payable amount for 2023. Delaying payments to suppliers could be a strategic move on the company's part to conserve cash, however if this trend were to continue it would strain future supplier relationships.
</t>
  </si>
  <si>
    <t>In 2021 and 2022 stable and for 2023 unfavorable</t>
  </si>
  <si>
    <t>Cost of Goods Sold/Avg accounts payable</t>
  </si>
  <si>
    <t>Note:  Assume the supplier’s credit policy is 30 days</t>
  </si>
  <si>
    <r>
      <t>Operating Cycle (days)</t>
    </r>
    <r>
      <rPr>
        <sz val="10"/>
        <color rgb="FF000000"/>
        <rFont val="Arial"/>
        <family val="2"/>
      </rPr>
      <t xml:space="preserve">: </t>
    </r>
    <r>
      <rPr>
        <i/>
        <sz val="10"/>
        <color rgb="FF000000"/>
        <rFont val="Arial"/>
        <family val="2"/>
      </rPr>
      <t xml:space="preserve">Average time to conduct the business cycle: from initial purchase of materials/products to collect cash from sales		</t>
    </r>
    <r>
      <rPr>
        <sz val="10"/>
        <color rgb="FF000000"/>
        <rFont val="Arial"/>
        <family val="2"/>
      </rPr>
      <t xml:space="preserve">			</t>
    </r>
  </si>
  <si>
    <t xml:space="preserve">Overall the ratio trend for Boston Beer Company's operating cycle is stable. 
In 2021 the operating cycle was 53 days, meaning the company was marginally more efficient in turning its investments in inventory and receivables into cash. 
In 2022 and 2023 the company slightly increased their operating cycle to 54 days which still indicates consistency in the company's ability to convert inventory and receivables into cash. The slight increase in later years is concerning because if the trend were to continue this would raise concerns about the company's operational efficiency. 
</t>
  </si>
  <si>
    <t>Inventory Conversion Period + Receivables Collection Period</t>
  </si>
  <si>
    <t>In 2021, 2022 and 2023 stable</t>
  </si>
  <si>
    <r>
      <t xml:space="preserve">Cash Cycle (days): </t>
    </r>
    <r>
      <rPr>
        <i/>
        <sz val="10"/>
        <color rgb="FF000000"/>
        <rFont val="Arial"/>
        <family val="2"/>
      </rPr>
      <t xml:space="preserve"> The average length of time cash is tied up in working capital:  need to get a bank loan or have excess cash on hand to sustain business during this time</t>
    </r>
    <r>
      <rPr>
        <b/>
        <sz val="10"/>
        <color indexed="8"/>
        <rFont val="Arial"/>
        <family val="2"/>
      </rPr>
      <t xml:space="preserve">					</t>
    </r>
  </si>
  <si>
    <t xml:space="preserve">
Boston Beer Company's cash cycle ratio is overall favorable. 
In 2021 the cash cycle was 28 days and this suggests a relatively stable cash flow process. 
In 2022 the cash cycle of 29 days shows that the company took a slightly longer time to convert investments in working capital back into cash. This may indicate a temporary slowdown in cash turnover. 
In 2023, the cash cycle was 27 days, indicating that cash was tied up in working capital for a slightly shorter period compared to 2022 and 2021. This shows improved liquidity and cash flow management. 
</t>
  </si>
  <si>
    <t xml:space="preserve">Gross operating cycle - Payables deferral period (in days) </t>
  </si>
  <si>
    <t>In 2021 favorable, 2022 favorable and 2023 slightly unfavorable</t>
  </si>
  <si>
    <r>
      <t xml:space="preserve">Fixed Asset Turnover Ratio : </t>
    </r>
    <r>
      <rPr>
        <i/>
        <sz val="10"/>
        <color rgb="FF000000"/>
        <rFont val="Arial"/>
        <family val="2"/>
      </rPr>
      <t xml:space="preserve"> $$ of Sales generated by $1 of Fixed Assets:  how efficiently are you using your Fixed Assets?			</t>
    </r>
    <r>
      <rPr>
        <b/>
        <i/>
        <sz val="10"/>
        <color rgb="FF000000"/>
        <rFont val="Arial"/>
        <family val="2"/>
      </rPr>
      <t xml:space="preserve">		</t>
    </r>
  </si>
  <si>
    <t xml:space="preserve">Over all the fixed asset turnover ratio for Boston Beer Company was slightly unfavorable to stable. 
In 2023, the fixed asset turnover ratio was 3.07 indicating a slight decline in efficiency compared to 2022. This suggests that the company generated slightly less revenue per dollar of fixed assets due to decreased sales. 
In 2022, the ratio increased to 3.14, showing a slight improvement in asset utilization compared to 2021. This suggest the company was able to generate more revenue per dollar of fixed assets, reflecting better operational efficiency. 
In 2021, with at ratio of 3.10, the company had a solid level of asset utilization. Though it is slightly lower than 2022, it was relatively stable.  
</t>
  </si>
  <si>
    <t>Trend is slightly unfavorabe/stable</t>
  </si>
  <si>
    <t>In 2021 unfavorable, 2022 favorable and in 2023 unfavorable</t>
  </si>
  <si>
    <t>Avg Net fixed assets</t>
  </si>
  <si>
    <r>
      <t xml:space="preserve">Total assets turnover ratio: </t>
    </r>
    <r>
      <rPr>
        <sz val="10"/>
        <color rgb="FF000000"/>
        <rFont val="Arial"/>
        <family val="2"/>
      </rPr>
      <t xml:space="preserve"> $$ of Sales generated by $1 of Total Assets:  how efficiently are you using your Total Assets?</t>
    </r>
  </si>
  <si>
    <t xml:space="preserve">The overall trend for Boston Beer Company's total asset turnover ratio is unfavorable because the ratios have declined from 1.49 in 2022 to 1.41 in 2023, indicating that the company is generating fewer sales per dollar of assets over time which is an indicator of lower sales. 
In 2021 the company utilized its assets efficiently maintaining a strong turnover rate and effectively turning its assets into revenue. In 2022, similar to 2021, the company continued to maintain efficiency with a ratio of 1.49. 
However in 2023, the company asset efficiency declined, meaning it generated fewer sales per dollar of assets compared to previous years which indicates increased asset base without proportional revenue growth. 
</t>
  </si>
  <si>
    <t xml:space="preserve">Trend is unfavorable </t>
  </si>
  <si>
    <t>In 2021, 2022 and 2023 unfavorable</t>
  </si>
  <si>
    <t xml:space="preserve">Avg Total assets </t>
  </si>
  <si>
    <r>
      <t>Solvency: Debt Management Ratios</t>
    </r>
    <r>
      <rPr>
        <i/>
        <sz val="11"/>
        <color rgb="FF000000"/>
        <rFont val="Arial"/>
        <family val="2"/>
      </rPr>
      <t xml:space="preserve"> (ability of business to meet it's long term obligations: depends on capital structure - how much use debt vs. equity - and degree of operating leverage)</t>
    </r>
  </si>
  <si>
    <r>
      <t xml:space="preserve">Debt Ratio: </t>
    </r>
    <r>
      <rPr>
        <i/>
        <sz val="10"/>
        <color rgb="FF000000"/>
        <rFont val="Arial"/>
        <family val="2"/>
      </rPr>
      <t xml:space="preserve"> measures the % of a firm's capital structure provided by creditors.  Creditors prefer this to be low as a cushion against losses</t>
    </r>
  </si>
  <si>
    <t xml:space="preserve">Boston Beer Company has been actively paying down debt while increasing its total invested capital, which is a favorable trend. This reduction in debt enhances financial stability, lowers financial risk, and improves creditworthiness, potentially making the company more attractive to investors. 
In 2021, the company had the highest debt ratio among the three years, meaning greater portion of its capital structure was financed through debt which means higher financial obligation. 
In 2022 the debt ratio decreased, showing that the company reduced its reliance on debt while increasing total invested capital. Which shows lower risk. 
In 2023, with the lowest debt ratio, the company significantly reduced its debt burden without taking on any new debt. This implied reduced interest expenses for the company but since sales were declining, I would not say that it helped with improved financial health or greater flexibility for future investment since much of the cash flow from operations came from inside the company and not operational efficiency. 
</t>
  </si>
  <si>
    <t>Total interest bearing debt</t>
  </si>
  <si>
    <t>In 2021 and 2022 favorable and in 2023 unfavorable</t>
  </si>
  <si>
    <t>Total Invested Capital: Int B Debt + All Equity</t>
  </si>
  <si>
    <r>
      <t xml:space="preserve">Times-interest-earned ratio(TIE):  </t>
    </r>
    <r>
      <rPr>
        <i/>
        <sz val="10"/>
        <color rgb="FF000000"/>
        <rFont val="Arial"/>
        <family val="2"/>
      </rPr>
      <t>ability of business to pay it's annual interest expense</t>
    </r>
  </si>
  <si>
    <t>Net Operating Earnings (Earnings Before Interest  Taxes: EBIT)</t>
  </si>
  <si>
    <t xml:space="preserve">Trend is favorable </t>
  </si>
  <si>
    <t>In 2021 unfavorable, in 2022 and 2023 favorable</t>
  </si>
  <si>
    <t xml:space="preserve">Boston Beer Company's Times Interest Earned (TIE) ratio is favorable overall, with steady improvements each year, indicating a stronger ability to cover its annual interest obligations. 
In 2021 the company has a low EBIT and somewhat low interest rate expense resulting in a modest ability to cover interest payments. 
In 2022, EBIT increased significantly from 2021, while interest expense remained relatively low, greatly improving the company's capacity to cover interest payments.
In 2023, EBIT continued to grow, but at a slower rate compared to the significant spike in 2022. Despite this, the interest expense was even lower than in 2022, further enhancing the company’s interest coverage. This trend indicates lower financial risk.
</t>
  </si>
  <si>
    <t>Net Interest expense (enter as a + #)</t>
  </si>
  <si>
    <r>
      <t>Debt to Equity Ratio:</t>
    </r>
    <r>
      <rPr>
        <i/>
        <sz val="10"/>
        <color rgb="FF000000"/>
        <rFont val="Arial"/>
        <family val="2"/>
      </rPr>
      <t xml:space="preserve"> reflects LT debt payment ability. Lower ratio means lower relative debt burden &amp; less risk of not repaying creditors. Should not be larger than 2.0</t>
    </r>
  </si>
  <si>
    <t>In 2021, 2022 and 2023 favorable</t>
  </si>
  <si>
    <t>Boston Beer Company's debt to equity ratio is very favorable overall, with steady improvements each year, indicating a stronger ability to cover its annual interest obligations. In 2021 the ratio was .06 which indicates the company had a lower relative debt ratio and could repay creditors. 2022 and 2023 both saw improvements in the ratio by .01. Indicating that the company was actively paying down debt each year.</t>
  </si>
  <si>
    <r>
      <t xml:space="preserve">Debt to Total Assets Ratio: </t>
    </r>
    <r>
      <rPr>
        <b/>
        <i/>
        <sz val="10"/>
        <color rgb="FF000000"/>
        <rFont val="Arial"/>
        <family val="2"/>
      </rPr>
      <t xml:space="preserve"> </t>
    </r>
    <r>
      <rPr>
        <i/>
        <sz val="10"/>
        <color rgb="FF000000"/>
        <rFont val="Arial"/>
        <family val="2"/>
      </rPr>
      <t>Indicates what % of assets are funded with liabilities versus equity</t>
    </r>
  </si>
  <si>
    <t>oston Beer Company's debt-to-total-assets ratio is overall favorable, with a steady decrease each year, indicating that a smaller percentage of assets is being funded by liabilities rather than equity. In 2021, the ratio was 29%, followed by a decline to 25% in both 2022 and 2023.
However, while a lower debt ratio reduces financial risk, it is concerning in the context of declining sales. If the company continues to rely more on asset sales rather than strategic debt financing, it may limit growth opportunities or struggle to maintain operations efficiently. This trend should be closely monitored to ensure financial stability and long-term sustainability.</t>
  </si>
  <si>
    <t>Total Assets</t>
  </si>
  <si>
    <t>Cost Structure / Leverage</t>
  </si>
  <si>
    <r>
      <rPr>
        <b/>
        <sz val="10"/>
        <color rgb="FF000000"/>
        <rFont val="Arial"/>
      </rPr>
      <t>Leverage</t>
    </r>
    <r>
      <rPr>
        <sz val="10"/>
        <color rgb="FF000000"/>
        <rFont val="Arial"/>
      </rPr>
      <t>:  leverage is the relative amount of fixed costs in a firm's overall cost structure.  Leverage creates risk because fixed costs must be paid, regardless of the level of sales.</t>
    </r>
  </si>
  <si>
    <r>
      <rPr>
        <b/>
        <sz val="10"/>
        <color rgb="FF000000"/>
        <rFont val="Arial"/>
      </rPr>
      <t>Operating Leverage</t>
    </r>
    <r>
      <rPr>
        <sz val="10"/>
        <color rgb="FF000000"/>
        <rFont val="Arial"/>
      </rPr>
      <t>: created from the use of high levels of plant and machinery in the production process, revealed through charges for depreciation, property taxes, etc.</t>
    </r>
  </si>
  <si>
    <t>Degree of Operating Leverage (DOL):</t>
  </si>
  <si>
    <t xml:space="preserve">Trend is favoarable </t>
  </si>
  <si>
    <t xml:space="preserve">In 2022 unfavorable and in 2023 favorable </t>
  </si>
  <si>
    <t xml:space="preserve">Overall this trend is favorable due to the extreme leverage from 2022 which has normalized in 2023, reducing financial risk. However the drop in sales is a red flag, since just lower leverage alone does not compensate for revenue struggles. 
In 2022 the company had extremely high operating leverage, so small changes in sales caused massive fluctuations in EBIT. Causing extreme volatility and suggests a high proportion of fixed costs. While EBIT increased significantly this year, the high leverage indicates significant risk if sales were to decline. In 2023, the company’s operating leverage dropped dramatically, indicating a shift to lower fixed costs or better cost control. This makes EBIT less sensitive to sales fluctuations, which reduces financial risk but may also indicate lower growth potential. However, since sales declined for that year, this drop in leverage could be a protective adjustment.
</t>
  </si>
  <si>
    <t>% change in Operating Income (EBIT)</t>
  </si>
  <si>
    <t>% change in Sales</t>
  </si>
  <si>
    <t>Degree of Financial Leverage (DFL):</t>
  </si>
  <si>
    <t>Created from the use of high levels of debt financing, revealed through charges for interest expense (a fixed expense with bankruptcy risk for non-payment).</t>
  </si>
  <si>
    <t>% change in Net Income</t>
  </si>
  <si>
    <t>In 2022 favorable and in 2023 unfavorable</t>
  </si>
  <si>
    <t xml:space="preserve">For Boston Beer Company 2022 shows and exceptional year with substantial growth, but when analyzing these gains we can see that it is not from core business operations so the gains are not substantial which is concerning. 
In 2023 the numbers suggest a slowdown, with less favorable operational performance which helps support that the exceptional gain in 2022 was not from core business operations. 
The trend overall shows some concerns due to sustainability but overall is a favorable trend. 
</t>
  </si>
  <si>
    <t>% change in EBIT</t>
  </si>
  <si>
    <t>Sales Analysis</t>
  </si>
  <si>
    <r>
      <t>Revenue per unit sold:</t>
    </r>
    <r>
      <rPr>
        <b/>
        <i/>
        <sz val="10"/>
        <color rgb="FF000000"/>
        <rFont val="Arial"/>
        <family val="2"/>
      </rPr>
      <t xml:space="preserve"> </t>
    </r>
    <r>
      <rPr>
        <i/>
        <sz val="10"/>
        <color rgb="FF000000"/>
        <rFont val="Arial"/>
        <family val="2"/>
      </rPr>
      <t>(inventory companies) or per square foot</t>
    </r>
  </si>
  <si>
    <t>The trend in revenue per unit sold shows a consistent increase over the past three years.This suggests that despite declining sales volume (from 8504 barrels in 2021 to 7678 barrels in 2023), Boston Beer Company has been able to achieve higher prices per barrel, likely due to product mix, pricing strategies, or premium product offerings. However, the decline in total sales volume signals a potential challenge in maintaining demand or market share, which could affect long-term growth if not addressed.</t>
  </si>
  <si>
    <t>Units Sold (or total sq feet or # stores) Find an operating metric in 10-K</t>
  </si>
  <si>
    <t xml:space="preserve">
7678</t>
  </si>
  <si>
    <t>A/R growth to Sales growth Ratio:</t>
  </si>
  <si>
    <t xml:space="preserve">In 2023, Boston Beer Company's A/R Growth to Sales Growth Ratio was -4.66, meaning accounts receivable grew significantly by 18% while sales declined by 4%. This is an unfavorable trend as the company may be struggling with slower collections or extending more credit or loosening their credit terms to customers to drive sales that wouldn't otherwise happen which would of artificially inflated sales numbers in the short term, improving some financial results. 
In 2022, the A/R Growth to Sales Growth Ratio was 1.89, with accounts receivable increasing by 3% while sales grew by 2%. This represents a slightly unfavorable trend. While it is common for A/R to grow alongside sales, the higher growth in receivables compared to sales suggests that like 2023, the company may have extended more credit or loosened their credit terms to customers or faced slower collections. This trend should have been monitored closely to prevent further deterioration, like the ratio results of 2023. 
</t>
  </si>
  <si>
    <t xml:space="preserve">Accounts Receivable Growth vs. </t>
  </si>
  <si>
    <t xml:space="preserve">In 2022 and 2023 unfavorable </t>
  </si>
  <si>
    <t>Sales Growth</t>
  </si>
  <si>
    <t>Revenue per Employee:</t>
  </si>
  <si>
    <t>In 2021 and 2022 stable, in 2023 unfavorable</t>
  </si>
  <si>
    <t xml:space="preserve">Revenue per employee was stable between 2021 and 2022 with revenue per employee for the year around 82,200. This shows consistent efficiency despite a slight increase in total sales and employees. The small dip in revenue per employee, even though revenue increase and employees increased, means that the increase in employees might have slightly outpaced the growth in sales. In 2023, there was a drop in both revenue and employees, with employee revenue also dropping to 79,173 per employee. This suggests that the company may have been trying to cut costs by cutting employees and this could of resulted in less efficiency resulting in lower sales. Or the company knew sales were declining and cut employees to save more cash. Regardless, this is an unfavorable trend if it were to continue.  
</t>
  </si>
  <si>
    <t># employees (search 10-K,  company website or google)</t>
  </si>
  <si>
    <t>Profitability Ratios</t>
  </si>
  <si>
    <t>Gross Profit Margin: (stable?)</t>
  </si>
  <si>
    <t xml:space="preserve">In 2021, Boston Beer Company's gross profit margin was 38.8%, which is relatively low compared to the following years. This indicates higher production costs or lower pricing power, which could reflect inefficiencies in cost management that suggests pressure on profitability. 
In 2022, the gross profit margin increased to 41.2%, reflecting improved cost control or slightly better pricing strategies. While the increase is a favorable trend, the company's sales remained relatively flat, indicating that the margin growth was likely due to internal efficiencies rather than revenue expansion.
In 2023, the gross profit margin further improved to 42.4%, representing continued cost management efforts. However, with sales declining by approximately 4%, the margin improvement may have been partially driven by cost-cutting measures rather than pricing strength.
</t>
  </si>
  <si>
    <t>In 2021 unfavorable and in 2022 and 2023 favorable</t>
  </si>
  <si>
    <t>Net Operating Profit:</t>
  </si>
  <si>
    <t>EBIT</t>
  </si>
  <si>
    <t xml:space="preserve">
In 2021, Boston Beer Company's EBIT margin was 3.9%, indicating weak operating profitability. This low margin reflects limited profitability from core operations.
In 2022, the EBIT margin improved to 4.3%, showing slight progress in operational efficiency. While this is a favorable trend, the modest increase indicates that the company was struggling to generate significant profits from its sales.
In 2023, the EBIT margin further increased to 5.0%, reflecting continued improvements in operating efficiency and cost management. Despite the decline in sales, the company was able to enhance profitability, which is a favorable trend. 
</t>
  </si>
  <si>
    <t>Profit margin / Return on Sales (ROS)</t>
  </si>
  <si>
    <t xml:space="preserve">Net Income </t>
  </si>
  <si>
    <t xml:space="preserve">In 2021, Boston Beer Company had a profit margin of 0.7%, indicating minimal profitability. This extremely low margin suggests shows that the company struggled to convert sales into profit.
In 2022, the profit margin improved to 3.2%, reflecting an increased operational efficiency but the margin remains relatively low, suggesting the company still faced profitability challenges despite the slight increase in net income.
In 2023, the profit margin rose further to 3.8%, continuing the positive trajectory. The company's ability to grow its net income despite declining sales suggests improved expense management. Even though this is a favorable trend, the company still needs to focus on boosting sales to further strengthen profitability.
</t>
  </si>
  <si>
    <r>
      <t>Basic Earning Power (BEP):</t>
    </r>
    <r>
      <rPr>
        <sz val="10"/>
        <color rgb="FF000000"/>
        <rFont val="Arial"/>
        <family val="2"/>
      </rPr>
      <t xml:space="preserve">  Earning power of the firm’s assets before the influences of taxes and debt</t>
    </r>
  </si>
  <si>
    <t>Operating Income (EBIT)</t>
  </si>
  <si>
    <t>In 2021 unfavorable, 2022 and 2023 favorable</t>
  </si>
  <si>
    <t xml:space="preserve">In 2021, Boston Beer Company’s Basic Earning Power was 0.6%, indicating extremely low efficiency in using its assets to generate operating income. Suggesting the company struggled to turn its asset base into profits.
In 2022, the Basic Earning Power improved to 6.4%, reflecting a significant recovery in operational efficiency. This increase suggests the company made progress in managing expenses and utilizing its assets more effectively.
In 2023, the Basic Earning Power increased further to 7.0% and even though it was only a slight increase and not nearly as large of an increase from 2021 to 2022, it still demonstrated continued improvements in asset utilization and operational efficiency. However, maintaining this progress will require a focus on reversing the sales decline to sustain profitability.
</t>
  </si>
  <si>
    <t>Return on Total Assets (ROA):</t>
  </si>
  <si>
    <t xml:space="preserve">Boston Beer Company’s ROA in 2021 was 1.0%, indicating poor efficiency in using its assets to generate net income. This low return suggests operational challenges and limited profitability. Indicating the company struggled to achieve strong returns from its asset base.
In the following year, 2022, the ROA improved to 4.8%, reflecting better asset utilization and stronger profitability. However the return still remains relatively low, suggesting that further improvements in operational efficiency and revenue growth are necessary.
The ROA increased further in 2023, to 5.3%, indicating continued progress in generating returns from the company's assets. However, with sales declining, sustaining this growth may become challenging without efforts to boost revenue.
</t>
  </si>
  <si>
    <t>Net Income</t>
  </si>
  <si>
    <t>In 2021 unfavorable and in 2022 amd 2023 favorable</t>
  </si>
  <si>
    <t>Avg Total assets</t>
  </si>
  <si>
    <t>Return on common Equity (ROE):</t>
  </si>
  <si>
    <t>Net Income - Preferred Dividends</t>
  </si>
  <si>
    <t>2021 unfavorable, 2022-2023 favorable</t>
  </si>
  <si>
    <t xml:space="preserve">Boston Beer Company’s ROE in 2021 was 1.5%, indicating that the company generated a very low return for its common shareholders. This poor performance suggests inefficient use of equity capital and low profitability. 
In 2022, the ROE improved to 6.6%, reflecting better profitability and more effective use of shareholders' equity. However, the return remains relatively low compared to market expectations, indicating room for further improvement.
The ROE in 2023 increased further to 7.1%, signaling continued improvement in profitability and efficient use of equity. However, the declining sales and reliance on cost-cutting measures suggest that sustaining this level of return may become challenging without renewed revenue growth.
During all three years, Boston Beer Company did not pay any dividends. The lack of dividends highlights that the ROE improvements are primarily a result of internal reinvestment rather than distributing earnings to shareholders. Which is not necessarily negative, but it does increase pressure on management to show that these retained earnings are driving long-term value.
</t>
  </si>
  <si>
    <t>Avg Common Shareholder's Equity</t>
  </si>
  <si>
    <r>
      <t>Return on Invested Capital</t>
    </r>
    <r>
      <rPr>
        <b/>
        <sz val="10"/>
        <color rgb="FF000000"/>
        <rFont val="Arial"/>
        <family val="2"/>
      </rPr>
      <t xml:space="preserve">:  </t>
    </r>
    <r>
      <rPr>
        <sz val="10"/>
        <color rgb="FF000000"/>
        <rFont val="Arial"/>
        <family val="2"/>
      </rPr>
      <t>Total Return for company investors</t>
    </r>
  </si>
  <si>
    <t>In 2021 unfavorable and in  2022 amd 2023 favorable</t>
  </si>
  <si>
    <t xml:space="preserve">In 2021, Boston Beer Company’s ROIC was 5.7%, indicating a relatively low return for investors given the capital invested in the company. This suggests the company faced challenges in generating sufficient returns from its operations.
In 2022, the ROIC increased to 6.0%, reflecting improved operational efficiency and better management of capital. However, the modest improvement suggests there was still room for enhanced profitability.
In 2023, the ROIC rose further to 6.6%, indicating continued progress in generating returns on the capital invested by both shareholders and debtholders. This improved ratio with declining sales causes some concern that sustaining this level of return may become challenging without future revenue growth.  
</t>
  </si>
  <si>
    <t>NOPAT (=EBIT*(1-T))</t>
  </si>
  <si>
    <t>Total Invested Capital (= Int bearing debt + Eq)</t>
  </si>
  <si>
    <r>
      <rPr>
        <b/>
        <sz val="10"/>
        <color rgb="FF000000"/>
        <rFont val="Arial"/>
        <family val="2"/>
      </rPr>
      <t>Free Cash Flow / Sales:</t>
    </r>
    <r>
      <rPr>
        <sz val="10"/>
        <color indexed="8"/>
        <rFont val="Arial"/>
        <family val="2"/>
      </rPr>
      <t xml:space="preserve">  Operating cash flow available after it purchases the PP&amp;E needed to maintain its current operations. $$ available to fund growth, retire debt, purchase treasury stock &amp; pay dividends.  (Use the Stmt of Cash Flows for this info)</t>
    </r>
  </si>
  <si>
    <t xml:space="preserve">Boston Beer Company’s FCF in 2021 was -4.4%, indicating negative cash flow which is not good. This means that the company’s capital expenditures exceeded its operating cash flow. The negative FCF could of strained liquidity and limited financial flexibility for that year. 
In 2022, the FCF improved to 5.2%, reflecting a positive shift in cash generation. This suggest the company managed to generate excess cash after covering capital expenditures.
In 2023, the FCF further increased to 10%, demonstrating strong cash generation giving the company more flexibility to reinvest in growth or reduce debt. However, the declining sales may indicate that this improvement was driven by cost-cutting rather than revenue growth, which could be a concern if the trend continues.
</t>
  </si>
  <si>
    <t>Net cash flows from operating activities -  cash used to purchase PP&amp;E</t>
  </si>
  <si>
    <t>In 2021 unfavorable and in  2022 and 2023 favorable</t>
  </si>
  <si>
    <t xml:space="preserve"> Market Value Ratios</t>
  </si>
  <si>
    <t xml:space="preserve">Price/earnings (P/E) ratio:  </t>
  </si>
  <si>
    <t xml:space="preserve">How much investors are willing to pay per dollar of reported profits.  P/E ratio 13  - 18 is considered a value stock, while higher P/E ratios may indicate the company is overvalued.  Lower P/E ratios may indicate a higher risk company. </t>
  </si>
  <si>
    <t>Market Price per share</t>
  </si>
  <si>
    <t xml:space="preserve">For 2021, Boston Beer Company’s P/E ratio was a very large number, 426.21, indicating that the company was overvalued by investors. Investors had speculative optimism or certain expectations of rapid future growth. 
For 2022, the P/E ratio declined to 77.06, reflecting reduced investor confidence and a reassessment of the company’s growth prospects. While still considerably above the typical value stock range, this unfavorable trend suggests that investors grew concerned about the company’s ability to sustain its previous growth.
"In 2023, the P/E ratio further decreased to 38.78, indicating a continued decline in investor sentiment. While this remains high, it suggests the market has a more realistic view of the company’s earnings potential. This is a favorable trend compared to prior years, as it indicates a more balanced valuation, though the ratio still implies higher expectations and some perceived risk.
</t>
  </si>
  <si>
    <t>Earnings per share (E.P.S)</t>
  </si>
  <si>
    <r>
      <t xml:space="preserve">Market/Book ratio (M/B): </t>
    </r>
    <r>
      <rPr>
        <sz val="10"/>
        <color rgb="FF000000"/>
        <rFont val="Arial"/>
        <family val="2"/>
      </rPr>
      <t>- aka price/book ratio</t>
    </r>
  </si>
  <si>
    <t xml:space="preserve">
Boston Beer Company’s Market-to-Book ratio in 2021 was 6, indicating that investors valued the company at six times its book value. This high ratio suggests that the stock was overvalued, especially considering the company’s low net income and declining operational performance.
In 2022, the Market-to-Book ratio declined to 5, reflecting a drop in investor confidence as the stock price fell significantly. Although the ratio remained elevated, suggesting some ongoing optimism, the decline points to growing concerns about the company's ability to maintain its previous growth. 
In 2023, the Market-to-Book ratio further decreased to 3, indicating a more balanced valuation as investor expectations adjusted. While this suggests a more reasonable stock valuation, it also reflects continued concerns about the company's declining sales and future growth prospects. The lower ratio is a favorable trend if it signals a fairer valuation, but it could also indicate that investors are wary of further performance challenges or it could be both. 
</t>
  </si>
  <si>
    <t>**      Book value per share (BV)</t>
  </si>
  <si>
    <t>Book Value per Share:</t>
  </si>
  <si>
    <t>Total Common Equity</t>
  </si>
  <si>
    <t>In 2021 and 2022 unfavorable, in 2023 favorable</t>
  </si>
  <si>
    <t xml:space="preserve">Boston Beer Company’s BVPS was $80.08 in 2021, indicating a solid base of shareholder equity. However, the company’s low profitability and declining stock price suggest that investors were skeptical of the company's ability to generate returns. This is a slightly unfavorable trend when combined with the lack of strong earnings growth.
In 2022, the BVPS increased to $86.75, reflecting the company’s retained earnings and continued growth in shareholder equity. This is a favorable trend as it indicates the company was strengthening its financial position. However, the declining stock price and reduced investor confidence imply that market sentiment did not align with the increase in book value.
In 2023, the BVPS further rose to $88.04, demonstrating a continued accumulation of equity. This is a favorable trend as it suggests Boston Beer Company maintained financial stability despite challenges in sales. However, the declining market price and lower P/B ratio indicate that investors were not convinced this growth would translate into higher future returns.
</t>
  </si>
  <si>
    <t># Shares of common stock outstanding</t>
  </si>
  <si>
    <t>Equity multiplier:</t>
  </si>
  <si>
    <t xml:space="preserve">Total assets </t>
  </si>
  <si>
    <t xml:space="preserve">Over all the equity multiplier trend is stable, showing low financial risk. However, in an environment of declining sales, too little leverage may prevent the company from pursuing strategic growth opportunities.
In 2021, the company used moderate financial leverage, meaning 14% of its assets were funded by debt, while the majority came from equity. This indicates low financial risk. 
There was a slight decrease in 2022 that suggests even lower reliance on debt, making the company even less leveraged. While this reduces financial risk, it may also limit potential returns if the company is too conservative in using debt for growth. 
In 2023, the ratio remained unchanged, confirming the company's continued preference for low debt financing. Given the company’s declining sales, this cautious approach minimizes financial strain and is concerning. 
</t>
  </si>
  <si>
    <t>Common equity</t>
  </si>
  <si>
    <t>Price to Sales ratio:</t>
  </si>
  <si>
    <t>In  2021 favorable and in 2022 and 2023 unfavorable</t>
  </si>
  <si>
    <t xml:space="preserve">
Overall the trend for price to sales ratio is unfavorable. The P/S ratio has continued to decline each year, driven by falling stock price and stagnant or declining sales per share. This suggests that investor confidence in Boston Beer Company has weakened over the past three years, likely due to sales struggles and financial concerns. The company needs to stabilize or grow revenue and restore profitability expectations to improve its valuation.
</t>
  </si>
  <si>
    <t>Sales per share</t>
  </si>
  <si>
    <t>Earnings Yield:</t>
  </si>
  <si>
    <t>Earnings per Share (E.P.S)</t>
  </si>
  <si>
    <t>In 2021 and 2022 unfavorable, for 2023 favorable</t>
  </si>
  <si>
    <t xml:space="preserve">In 2021, a 0% earnings yield means the company had no or negligible earnings relative to its stock prices. This suggests weak profitability or overvalued stock and likely a combination of both. This yield would be considered unfavorable because investors were receiving no return in terms of earnings relative to their investment. In 2022, the earnings yield had a slight increase to 1%, which suggests some improvement in earnings relative to stock price but the return was still very low. The market price per share for stock also dropped from 505 in 2021 to 421 in 2022. Despite the stock price drop, this yield remained low, indicating that the stock was still overvalued relative to its earnings. 
In 2023, the earnings yield increased again to 3%, suggesting that the lower stock price made earnings more attractive. This is reflected in the market price per share decreasing from $421 in 2022 to $242 in 2023. While still relatively low, the upward trend is favorable as it signals progress toward better returns for investors
</t>
  </si>
  <si>
    <r>
      <t>Dividend Payout Ratio</t>
    </r>
    <r>
      <rPr>
        <sz val="10"/>
        <color rgb="FF000000"/>
        <rFont val="Arial"/>
        <family val="2"/>
      </rPr>
      <t>: what portion of accrual-basis earnings was paid to common shareholders</t>
    </r>
  </si>
  <si>
    <t>Total Dividends to common shareholders</t>
  </si>
  <si>
    <t>stable</t>
  </si>
  <si>
    <t xml:space="preserve">Since there were no dividend payouts for all three years, there is 0% for all three years for the dividend payout ratio. The 0% states that the company is choosing to reinvest all of its earnings back into the business rather than distributing profits to shareholders. This could indicate a focus on growth, debt reduction, or strengthening financial stability, making it a stable trend.
While this strategy may benefit long-term expansion, it could be unfavorable for income-seeking investors who prefer dividend-paying stocks.
</t>
  </si>
  <si>
    <t>Income available to common shareholders</t>
  </si>
  <si>
    <r>
      <t>Dividend Yield:</t>
    </r>
    <r>
      <rPr>
        <sz val="10"/>
        <color rgb="FF000000"/>
        <rFont val="Arial"/>
        <family val="2"/>
      </rPr>
      <t xml:space="preserve">  Discuss which stock investor group wants a high yield versus a low yield and why?</t>
    </r>
  </si>
  <si>
    <t>Dividend per share (D.P.S)</t>
  </si>
  <si>
    <t xml:space="preserve">Since Boston Beer Company did not pay any dividends all three years, this means that investors rely solely on stock price appreciation for returns. Indicating a focus on reinvesting profits into growth initiatives, debt reduction or operational improvements rather than distributing cash to shareholders. While this strategy can be favorable for growth focused investors, it could be unfavorable for income seeking investors who prefer dividend paying stocks for constant returns. I am labeling this trend as stable since it depends on the investor. 
</t>
  </si>
  <si>
    <t>Market price per share</t>
  </si>
  <si>
    <r>
      <rPr>
        <b/>
        <sz val="10"/>
        <color rgb="FF000000"/>
        <rFont val="Arial"/>
        <family val="2"/>
      </rPr>
      <t>Shareholder Return:</t>
    </r>
    <r>
      <rPr>
        <sz val="10"/>
        <color indexed="8"/>
        <rFont val="Arial"/>
        <family val="2"/>
      </rPr>
      <t xml:space="preserve">  Measures the annual return on a purchase of stock assuming bought it 1/1 and sold 12/31</t>
    </r>
  </si>
  <si>
    <t>(Ending Stock price - Beginning stock price) + Annual dividends per share</t>
  </si>
  <si>
    <t>n/a</t>
  </si>
  <si>
    <t>In 2022 and 2023 unfavorable</t>
  </si>
  <si>
    <t xml:space="preserve"> The shareholder return for Boston Beer Company is very unfavorable due to losses increasing each year. 
In 2022, investors who  shares at the beginning of the year and sold at the end experienced a 17% loss, reflecting declining investor confidence and weaker stock performanceIn 2023, the shareholder return worsened significantly, with investors facing a 43% loss over the year. This sharp decline suggests increased concerns about the company's financial health and declining sales. A drop of this magnitude is highly unfavorable and may indicate that investors are losing confidence in the company's ability to generate future growth.
</t>
  </si>
  <si>
    <t>Beginning stock price</t>
  </si>
  <si>
    <r>
      <rPr>
        <sz val="10"/>
        <color indexed="8"/>
        <rFont val="Arial"/>
        <family val="2"/>
      </rPr>
      <t xml:space="preserve">The </t>
    </r>
    <r>
      <rPr>
        <b/>
        <i/>
        <sz val="10"/>
        <color indexed="8"/>
        <rFont val="Arial"/>
        <family val="2"/>
      </rPr>
      <t>DuPont Equation</t>
    </r>
  </si>
  <si>
    <t>DuPont Equation:  ROE = ROS times Total Asset Turnover times Equity Multiplier</t>
  </si>
  <si>
    <t>ROS (Profit Margin) x</t>
  </si>
  <si>
    <t xml:space="preserve">
Boston Beer Company's ROE trend is favorable overall, with it steadily increasing each year. 
In 2021, the company had a very low return on equity, suggesting weak profitability or inefficient asset utilization. This is unfavorable, as shareholders earned minimal returns on their invested equity.
In 2022, ROE improved significantly, indicating better profitability and potentially improved asset turnover or financial leverage. However, it remains low, meaning the company still has room to improve its returns to shareholders.  
In 2023, the upward trend continues, showing further improvements in profitability or operational efficiency, but the increase is slower than in the previous year. While this is favorable, ROE is still relatively modest compared to stronger-performing companies.
</t>
  </si>
  <si>
    <t>Total Asset Turnover x</t>
  </si>
  <si>
    <t>In 2021 and 2022 unfavorable and for 2023 favorable</t>
  </si>
  <si>
    <t>Equity Multiplier =</t>
  </si>
  <si>
    <t>ROE</t>
  </si>
  <si>
    <t>Market Capitalization at Year-End (for each year)</t>
  </si>
  <si>
    <t>In 2021 favorable and in 2022 and 2023 unfavorable</t>
  </si>
  <si>
    <t>The significant decline in market capitalization from 2021 to 2023 reflects growing concerns about the company's ability to maintain growth, control costs, and generate sustainable profits. Investors are likely concerned about declining sales, weakened profitability, and poor working capital management, all of which are affecting the company’s ability to create value for shareholders. To reverse this trend, Boston Beer Company must work on stabilizing its core business, improving operational efficiency, and addressing investor concerns</t>
  </si>
  <si>
    <t>Current Market Capitalization (insert date)</t>
  </si>
  <si>
    <t>Dec 30th 2023</t>
  </si>
  <si>
    <t>Dec 30th 2022</t>
  </si>
  <si>
    <t>Dec 30th 2021</t>
  </si>
  <si>
    <t>Boston Beer Company</t>
  </si>
  <si>
    <t>Phase I:  Additional Calculations &amp; Analysis</t>
  </si>
  <si>
    <t>See Step 8 Instructions for Questions to Answer</t>
  </si>
  <si>
    <t>Analysis:  Trend?  What does it indicate?</t>
  </si>
  <si>
    <t>Step 8:</t>
  </si>
  <si>
    <t xml:space="preserve">Popular measure of Free Cash Flow from operations before considering impacts of debt, taxes and future growth needs. </t>
  </si>
  <si>
    <t>a1</t>
  </si>
  <si>
    <r>
      <rPr>
        <b/>
        <sz val="10"/>
        <color rgb="FF000000"/>
        <rFont val="Arial"/>
        <family val="2"/>
      </rPr>
      <t>EBITDA</t>
    </r>
    <r>
      <rPr>
        <sz val="10"/>
        <color indexed="8"/>
        <rFont val="Arial"/>
        <family val="2"/>
      </rPr>
      <t>: (EBIT + Depreciation + Amortization)  is a quick and dirty measure of cash generated by operations</t>
    </r>
  </si>
  <si>
    <t xml:space="preserve">EBITDA Growth is a positive indicator of operational profitability, but it's crucial to recognize that the extraordinary growth in 2022 might have been driven by one-time gains or cost cuts rather than ongoing improvements in core operations. The slower growth in 2023, combined with declining revenues and increasing liabilities, suggests that this growth might not be sustainable. With operational cash flows not being able to cover current liabilities in 2021 and 2022 could signal potential financial stress that could hinder long term stability. 
</t>
  </si>
  <si>
    <t>b</t>
  </si>
  <si>
    <r>
      <rPr>
        <b/>
        <sz val="10"/>
        <color rgb="FF000000"/>
        <rFont val="Arial"/>
        <family val="2"/>
      </rPr>
      <t>NOPAT</t>
    </r>
    <r>
      <rPr>
        <sz val="10"/>
        <color indexed="8"/>
        <rFont val="Arial"/>
        <family val="2"/>
      </rPr>
      <t>:  (EBIT*(1-T)).  Use T from tax analysis below</t>
    </r>
  </si>
  <si>
    <t xml:space="preserve">NOPAT shows that after-tax operating performance is improving, but again, the sharp increase in 2022 could have been driven by temporary factors like tax benefits or non-operating gains. The declining operational metrics, such as decreased sales and impairments, point to potential weaknesses in maintaining these profit levels.
</t>
  </si>
  <si>
    <t>The increase in working capital from 2021 to 2023 suggests that Boston Beer Company is strengthening its liquidity position, which is generally a positive sign for its ability to meet short-term obligations and finance day-to-day operations. However, the significant growth in working capital, especially in 2022, raises questions about the efficiency of how current assets are being managed, particularly in areas like accounts receivable and inventory.
If the increase in working capital is largely driven by uncollected receivables or unsold inventory, it could signal potential operational inefficiencies that need to be addressed.
While the overall trend is positive, it will be important for the company to ensure that these increased reserves are being used effectively to drive growth and profitability rather than simply accumulating without turning it into profitable returns.</t>
  </si>
  <si>
    <t>c 1.</t>
  </si>
  <si>
    <r>
      <rPr>
        <b/>
        <sz val="10"/>
        <color rgb="FF000000"/>
        <rFont val="Arial"/>
        <family val="2"/>
      </rPr>
      <t>Working Capital</t>
    </r>
    <r>
      <rPr>
        <sz val="10"/>
        <color indexed="8"/>
        <rFont val="Arial"/>
        <family val="2"/>
      </rPr>
      <t xml:space="preserve"> (WC):  = CA - CL</t>
    </r>
  </si>
  <si>
    <r>
      <rPr>
        <b/>
        <sz val="10"/>
        <color rgb="FF000000"/>
        <rFont val="Arial"/>
        <family val="2"/>
      </rPr>
      <t>Net Working Capital Ratio:</t>
    </r>
    <r>
      <rPr>
        <sz val="10"/>
        <color indexed="8"/>
        <rFont val="Arial"/>
        <family val="2"/>
      </rPr>
      <t xml:space="preserve">  (CA - CL) / Total Assets</t>
    </r>
  </si>
  <si>
    <t>d</t>
  </si>
  <si>
    <r>
      <rPr>
        <b/>
        <sz val="10"/>
        <color rgb="FF000000"/>
        <rFont val="Arial"/>
        <family val="2"/>
      </rPr>
      <t>Free Cash Flow</t>
    </r>
    <r>
      <rPr>
        <sz val="10"/>
        <color indexed="8"/>
        <rFont val="Arial"/>
        <family val="2"/>
      </rPr>
      <t xml:space="preserve"> (Modified):  (NOPAT+ Depreciation &amp; Amortization) - (CapEx)   Note:  if FCF is negative, then company needs to raise new money in capital markets to invest in CapX </t>
    </r>
  </si>
  <si>
    <t xml:space="preserve">While the increase in free cash flow is a positive sign, the underlying factors—declining sales, growing accounts receivable, increasing accounts payable, and negative investing cash flows—indicate that the company may not be improving its operational efficiency. Instead, it appears to be generating cash through internal liquidity management (such as using working capital adjustments, reducing debt, and potentially cashing in short-term investments).
This reliance on financial maneuvers to generate cash is not sustainable in the long term. If the company continues to see declining sales and operational inefficiencies (increased receivables), it could face liquidity challenges in the future. The company needs to focus on improving its core business operations and reducing reliance on these internal cash-generation strategies to ensure long-term financial health and sustainability.
</t>
  </si>
  <si>
    <r>
      <t xml:space="preserve">Note: </t>
    </r>
    <r>
      <rPr>
        <b/>
        <sz val="10"/>
        <color indexed="8"/>
        <rFont val="Arial"/>
        <family val="2"/>
      </rPr>
      <t>Source of CapEx</t>
    </r>
    <r>
      <rPr>
        <sz val="10"/>
        <color indexed="8"/>
        <rFont val="Arial"/>
        <family val="2"/>
      </rPr>
      <t xml:space="preserve"> = Stmt of Cash flows Investing section: </t>
    </r>
    <r>
      <rPr>
        <b/>
        <sz val="10"/>
        <color indexed="8"/>
        <rFont val="Arial"/>
        <family val="2"/>
      </rPr>
      <t>Purchases of Property &amp; Equipment + Purchases of Intangible assets</t>
    </r>
    <r>
      <rPr>
        <sz val="10"/>
        <color indexed="8"/>
        <rFont val="Arial"/>
        <family val="2"/>
      </rPr>
      <t xml:space="preserve"> (do not include one time purchases of a business and do not include goodwill).  Be careful because this is shown as a negative number.  Watch the parenthesis.  It should reduce NOPAT</t>
    </r>
  </si>
  <si>
    <t>e</t>
  </si>
  <si>
    <r>
      <rPr>
        <b/>
        <sz val="10"/>
        <color rgb="FF000000"/>
        <rFont val="Arial"/>
        <family val="2"/>
      </rPr>
      <t>Effective Tax Rate:</t>
    </r>
    <r>
      <rPr>
        <sz val="10"/>
        <color indexed="8"/>
        <rFont val="Arial"/>
        <family val="2"/>
      </rPr>
      <t xml:space="preserve"> Tax Expense/Earnings Before Taxes (EBT): (compute for each year)</t>
    </r>
  </si>
  <si>
    <t xml:space="preserve">Boston Beer Company's effective tax rate trend is unfavorable. It shows an increase in the effective tax rate from 2021 to 2023, from a negative tax rate in 2021 to a 30% rate in 2023. The only year that the effective tax rate did not come close to the effective tax rate was in 2021, with an effecitve tax rate of -111% which the sharp negative rate was likely driven by tax benefits from losses, impairments, or adjustments in deferred tax assets noted in financial statements. The trend from 2021 (a tax benefit) to 2023 (a higher-than-nominal tax rate) is unfavorable as it suggests that the company is facing higher tax expenses, which could reduce future profitability if the trend continues.
</t>
  </si>
  <si>
    <t>Nominal Tax Rate (T) (statutory 21%+4% state + 1% local)</t>
  </si>
  <si>
    <t>After Tax Impact (1-T) (what company keeps)</t>
  </si>
  <si>
    <t>f</t>
  </si>
  <si>
    <t>Sources of Funding for Total Assets:</t>
  </si>
  <si>
    <t>Book Value $$</t>
  </si>
  <si>
    <t>%</t>
  </si>
  <si>
    <t xml:space="preserve">The 2023 reduction in free liabilities from operations is generally a favorable trend since it reflects a more balanced and sustainable approach. However, maintaining some level of operational liabilities is normal and can be beneficial for cash flow management. The company should ensure that further reductions do not harm operational efficiency or supplier relationships.
</t>
  </si>
  <si>
    <t>1)</t>
  </si>
  <si>
    <t>Vendor/Supplier/Govt/EE Funding: (Free liabilities from Operations)</t>
  </si>
  <si>
    <t>2)</t>
  </si>
  <si>
    <t>Debt Investor Funding:  (Interest bearing):</t>
  </si>
  <si>
    <t xml:space="preserve">The decrease in debt from 2021 to 2023 is a favorable trend as it suggests that Boston Beer Company is reducing financial risk and strengthening its balance sheet. However, maintaining a manageable level of debt can be beneficial for leveraging growth opportunities, so the company should ensure it has a balanced structure moving forward.
</t>
  </si>
  <si>
    <t>3)</t>
  </si>
  <si>
    <t>Equity Investor Funding: $$ + %:</t>
  </si>
  <si>
    <t>Common Equity</t>
  </si>
  <si>
    <t xml:space="preserve">The trend in equity investor funding is favorable as Boston Beer Company has consistently increased its equity base. This growth suggests financial resilience and strengthens the company's capital structure. Maintaining a high equity-to-assets ratio reduces financial risk and provides flexibility, reflecting a cautious approach to funding rather than relying heavily on external borrowing.
</t>
  </si>
  <si>
    <t>Preferred Equity</t>
  </si>
  <si>
    <t>Noncontrolling Interest</t>
  </si>
  <si>
    <t>SubTotal Total Assets</t>
  </si>
  <si>
    <t>Total Assets per Balance Sheet</t>
  </si>
  <si>
    <t>Difference (should = 0)</t>
  </si>
  <si>
    <t>g</t>
  </si>
  <si>
    <t xml:space="preserve">All Interest Bearing Debt/ EBITDA. Minimum # years for company to pay off debt IF it paid no taxes, interest expense, pmts to shareholders or made investments. </t>
  </si>
  <si>
    <t xml:space="preserve">The 2-year Debt/EBITDA ratio in both 2023 and 2022 is a favorable trend, indicating the company is maintaining a strong ability to service its debt. This is a favorable trend. </t>
  </si>
  <si>
    <t>h</t>
  </si>
  <si>
    <r>
      <rPr>
        <b/>
        <sz val="12"/>
        <color rgb="FF000000"/>
        <rFont val="Arial"/>
        <family val="2"/>
      </rPr>
      <t>What story is the data telling</t>
    </r>
    <r>
      <rPr>
        <sz val="10"/>
        <color indexed="8"/>
        <rFont val="Arial"/>
        <family val="2"/>
      </rPr>
      <t xml:space="preserve">? List a MINIMUM of 2 things the company doing well .   </t>
    </r>
  </si>
  <si>
    <t xml:space="preserve">Areas that Boston Beer Company has done well in are effective cash generation and cost cutting measures, debt management, maintaining a stable share count and increasing EPS. 
Boston Beer Company has done well in implementing cost-cutting measures and generating cash through asset liquidation. By reducing operating expenses and strategically liquidating short-term assets, the company was able to increase net income despite declining sales. In 2022, Boston Beer Company's net income surged by 362%, and in 2023, it grew another 13%, largely due to cost-cutting efforts and asset sales. This also led to a 572% increase in cash and cash equivalents in 2022 and another 65% increase in 2023, further strengthening the company’s liquidity position. The company also paid down 13% of its long-term debt in 2022 and maintained that level in 2023, reducing financial risk.
While cost-cutting and asset liquidation are not sustainable long-term solutions, it helped stabilize the company’s financials and provided flexibility for future reinvestment. Moving forward, Boston Beer must shift from cutting costs to driving revenue growth to sustain profitability.
Boston Beer Company has also been able to maintain a stable share count and increasing EPS. Despite financial challenges, Boston Beer Company has kept the number of outstanding shares stable. This means that its earnings per share (EPS) growth was driven by actual net income growth rather than artificial stock buybacks. In 2022, net income grew by 362%, leading to a sharp increase in EPS and then the net income rose again in 2023 by 13%. This stability in share count benefits long-term investors because it ensures EPS growth is not artificially inflated by reducing the number of shares. However, to maintain investor confidence, Boston Beer must now focus on driving revenue growth rather than relying on cost-cutting or asset liquidations.
While Boston Beer Company has taken steps to strengthen its balance sheet and ensure liquidity, the combination of declining sales, asset liquidation, and a lack of growth investments, that I will be mentioning in the next section, raises concerns about the company's long-term growth prospects. Boston Beer Company's conservative financial approach may mitigate short-term risks, but without revenue growth and operational improvements, the company could face stagnation or further financial pressure in the future. </t>
  </si>
  <si>
    <r>
      <t>List a MINIMUM of 3 areas the company needs</t>
    </r>
    <r>
      <rPr>
        <b/>
        <sz val="10"/>
        <color rgb="FF000000"/>
        <rFont val="Arial"/>
        <family val="2"/>
      </rPr>
      <t xml:space="preserve"> to improve</t>
    </r>
    <r>
      <rPr>
        <sz val="10"/>
        <color indexed="8"/>
        <rFont val="Arial"/>
        <family val="2"/>
      </rPr>
      <t xml:space="preserve"> to help their financial performance</t>
    </r>
  </si>
  <si>
    <t xml:space="preserve">Boston Beer Company's financial statements reveal that they have taken a conservative financial approch to help mitigate short term risks. There are several concerning trends, highlighting areas where the company must improve to achieve sustainable financial growth.
One critical area for improvement is marketable securities and short-term investments. In 2022, Boston Beer Company completely liquidated all of its marketable securities and investments, likely due to the need for an influx of cash. This decision followed two consecutive years (2021 and 2022) where operating cash flows were negative, meaning the company did not generate enough money from its core business to cover its current liabilities.
The problem is that this trend continued into 2023, with marketable securities and investments still at 0%. By failing to reinvest cash into short-term securities, the company now lacks easily accessible liquid assets, which can make cash flow management more difficult. Additionally, Boston Beer is missing out on potential returns that it could have earned through interest or capital appreciation.
Holding excess cash may seem like a prudent approach, but without reinvesting, it becomes an inefficient use of capital. Investors could interpret this as a lack of strategic planning or growth opportunities, which may negatively affect market confidence and the company’s ability to secure favorable financing in the future. To improve, Boston Beer Company should develop a balanced approach between maintaining liquidity and reinvesting cash into short-term securities or other high-return opportunities.
Another major area of concern is fluctuating sales and weakening investor confidence. Boston Beer Company's sales grew by only 2% from 2021 to 2022 but then declined by 4% from 2022 to 2023. Despite an increasing EPS, the company’s stock price has been falling significantly, signaling investor concerns about future growth. The company's P/E ratio declined sharply from 426.21 in 2021 to 38.78 in 2023, suggesting investors initially overvalued the company but later adjusted their expectations as growth slowed. As well as the price-to-sales ratio decreasing each year, further indicating weak investor sentiment.
Compounding this issue, Boston Beer Company did not pay dividends in any of the three years, despite a sharp increase in cash and cash equivalents (572% in 2022 and 65% in 2023). This suggests the company was holding onto cash instead of reinvesting or rewarding shareholders, making it less attractive to investors.
While retaining cash can be a strategic move, Boston Beer has not used these funds effectively for reinvestment. Instead of relying on cost-cutting measures that artificially boost net income, the company should focus on increasing sales and operational efficiency to drive sustainable long-term profit growth.
Additionally, the company’s negative financing cash flows in 2021 and 2023 indicate that it was paying off debt rather than securing new financing. While reducing debt can be a positive move, this strategy must be balanced with investments in future growth. The lack of both dividends and reinvestment efforts suggests that Boston Beer is failing to provide sufficient value to shareholders, which could lead to further stock price declines and reduced investor interest.
In addition to declining sales, Boston Beer Company's accounts receivable (A/R) has increased significantly, rising by 3% in 2022 and then another 18% in 2023. Normally, A/R growth should align with rising sales, but Boston Beer’s sales actually declined in 2023. This mismatch suggests that the company is not efficiently collecting payments from customers, which could lead to future cash flow issues.
One possible explanation is that Boston Beer loosened its credit terms to boost sales following weaker results in 2021. While this can be an effective short-term strategy, it carries risks like a higher A/R means more money is tied up in unpaid invoices, reducing available cash. Failure to collect payments on time increases the likelihood of bad debt, which can reduce net income and investors may see rising A/R as a warning sign that the company is struggling to manage its cash flow.
To address this issue, Boston Beer Company should tighten its credit policies and improve collection efforts. This includes better monitoring of outstanding receivables, enforcing stricter payment deadlines, and evaluating customer creditworthiness more carefully. Without these changes, the company risks higher bad debt expenses and further financial instability.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</si>
</sst>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_-&quot;$&quot;* #,##0_-;_-&quot;$&quot;* \(#,##0\)_-;_-&quot;$&quot;* &quot;-&quot;??;_-@_-"/>
    <numFmt numFmtId="165" formatCode="#,##0&quot; &quot;;\(#,##0\)"/>
    <numFmt numFmtId="166" formatCode="&quot; &quot;* #,##0&quot; &quot;;&quot; &quot;* \(#,##0\);&quot; &quot;* &quot;-&quot;??&quot; &quot;"/>
    <numFmt numFmtId="167" formatCode="_-&quot;$&quot;* #,##0.00_-;_-&quot;$&quot;* \(#,##0.00\)_-;_-&quot;$&quot;* &quot;-&quot;??;_-@_-"/>
    <numFmt numFmtId="168" formatCode="&quot;$&quot;#,##0.00"/>
    <numFmt numFmtId="169" formatCode="&quot;$&quot;#,##0"/>
    <numFmt numFmtId="170" formatCode="#,##0.0"/>
    <numFmt numFmtId="171" formatCode="0.0%"/>
    <numFmt numFmtId="172" formatCode="&quot; &quot;* #,##0.00&quot; &quot;;&quot; &quot;* \(#,##0.00\);&quot; &quot;* &quot;-&quot;??&quot; &quot;"/>
    <numFmt numFmtId="173" formatCode="&quot; &quot;&quot;$&quot;* #,##0.00&quot; &quot;;&quot; &quot;&quot;$&quot;* \(#,##0.00\);&quot; &quot;&quot;$&quot;* &quot;-&quot;??&quot; &quot;"/>
    <numFmt numFmtId="174" formatCode="0.0"/>
    <numFmt numFmtId="175" formatCode="_(&quot;$&quot;* #,##0_);_(&quot;$&quot;* \(#,##0\);_(&quot;$&quot;* &quot;-&quot;??_);_(@_)"/>
    <numFmt numFmtId="176" formatCode="_(* #,##0_);_(* \(#,##0\);_(* &quot;-&quot;??_);_(@_)"/>
  </numFmts>
  <fonts count="39">
    <font>
      <sz val="10"/>
      <color indexed="8"/>
      <name val="Arial"/>
    </font>
    <font>
      <sz val="13"/>
      <color indexed="8"/>
      <name val="Arial"/>
      <family val="2"/>
    </font>
    <font>
      <i/>
      <sz val="10"/>
      <color indexed="8"/>
      <name val="Arial"/>
      <family val="2"/>
    </font>
    <font>
      <b/>
      <sz val="10"/>
      <color indexed="8"/>
      <name val="Arial"/>
      <family val="2"/>
    </font>
    <font>
      <b/>
      <i/>
      <sz val="10"/>
      <color indexed="8"/>
      <name val="Arial"/>
      <family val="2"/>
    </font>
    <font>
      <b/>
      <u/>
      <sz val="10"/>
      <color indexed="8"/>
      <name val="Arial"/>
      <family val="2"/>
    </font>
    <font>
      <i/>
      <u/>
      <sz val="10"/>
      <color indexed="8"/>
      <name val="Arial"/>
      <family val="2"/>
    </font>
    <font>
      <b/>
      <i/>
      <u/>
      <sz val="10"/>
      <color indexed="8"/>
      <name val="Arial"/>
      <family val="2"/>
    </font>
    <font>
      <b/>
      <i/>
      <sz val="9"/>
      <color indexed="8"/>
      <name val="Arial"/>
      <family val="2"/>
    </font>
    <font>
      <u/>
      <sz val="10"/>
      <color indexed="8"/>
      <name val="Arial"/>
      <family val="2"/>
    </font>
    <font>
      <b/>
      <sz val="11"/>
      <color indexed="8"/>
      <name val="Arial"/>
      <family val="2"/>
    </font>
    <font>
      <b/>
      <i/>
      <sz val="11"/>
      <color indexed="8"/>
      <name val="Arial"/>
      <family val="2"/>
    </font>
    <font>
      <sz val="10"/>
      <color indexed="8"/>
      <name val="Arial"/>
      <family val="2"/>
    </font>
    <font>
      <b/>
      <sz val="10"/>
      <color rgb="FF000000"/>
      <name val="Arial"/>
      <family val="2"/>
    </font>
    <font>
      <b/>
      <u/>
      <sz val="10"/>
      <color rgb="FF000000"/>
      <name val="Arial"/>
      <family val="2"/>
    </font>
    <font>
      <sz val="10"/>
      <color indexed="8"/>
      <name val="Arial"/>
      <family val="2"/>
    </font>
    <font>
      <sz val="10"/>
      <color indexed="8"/>
      <name val="Arial"/>
      <family val="2"/>
    </font>
    <font>
      <sz val="11"/>
      <color rgb="FF000000"/>
      <name val="Helvetica Neue"/>
      <family val="2"/>
    </font>
    <font>
      <i/>
      <sz val="10"/>
      <color rgb="FF000000"/>
      <name val="Arial"/>
      <family val="2"/>
    </font>
    <font>
      <sz val="10"/>
      <color rgb="FF000000"/>
      <name val="Arial"/>
      <family val="2"/>
    </font>
    <font>
      <u/>
      <sz val="10"/>
      <color rgb="FF000000"/>
      <name val="Arial"/>
      <family val="2"/>
    </font>
    <font>
      <i/>
      <u/>
      <sz val="10"/>
      <color rgb="FF000000"/>
      <name val="Arial"/>
      <family val="2"/>
    </font>
    <font>
      <i/>
      <sz val="11"/>
      <color rgb="FF000000"/>
      <name val="Arial"/>
      <family val="2"/>
    </font>
    <font>
      <b/>
      <sz val="12"/>
      <color rgb="FF000000"/>
      <name val="Arial"/>
      <family val="2"/>
    </font>
    <font>
      <b/>
      <i/>
      <sz val="10"/>
      <color rgb="FF000000"/>
      <name val="Arial"/>
      <family val="2"/>
    </font>
    <font>
      <sz val="10"/>
      <color indexed="8"/>
      <name val="Arial"/>
      <family val="2"/>
    </font>
    <font>
      <i/>
      <sz val="10"/>
      <color rgb="FF000000"/>
      <name val="Arial"/>
    </font>
    <font>
      <b/>
      <sz val="10"/>
      <color rgb="FF000000"/>
      <name val="Arial"/>
    </font>
    <font>
      <b/>
      <i/>
      <sz val="10"/>
      <color rgb="FF000000"/>
      <name val="Arial"/>
    </font>
    <font>
      <i/>
      <sz val="11"/>
      <color rgb="FF000000"/>
      <name val="Calibri"/>
    </font>
    <font>
      <b/>
      <sz val="12"/>
      <color rgb="FF000000"/>
      <name val="Calibri"/>
    </font>
    <font>
      <sz val="11"/>
      <color rgb="FF000000"/>
      <name val="Calibri"/>
    </font>
    <font>
      <sz val="10"/>
      <color rgb="FF000000"/>
      <name val="Arial"/>
    </font>
    <font>
      <u/>
      <sz val="10"/>
      <color rgb="FF000000"/>
      <name val="Arial"/>
    </font>
    <font>
      <b/>
      <i/>
      <u/>
      <sz val="12"/>
      <color rgb="FF000000"/>
      <name val="Arial"/>
    </font>
    <font>
      <sz val="12"/>
      <color rgb="FF000000"/>
      <name val="Arial"/>
    </font>
    <font>
      <b/>
      <u/>
      <sz val="12"/>
      <color rgb="FF000000"/>
      <name val="Arial"/>
    </font>
    <font>
      <b/>
      <i/>
      <u/>
      <sz val="11"/>
      <color rgb="FF000000"/>
      <name val="Arial"/>
    </font>
    <font>
      <i/>
      <u/>
      <sz val="11"/>
      <color rgb="FF000000"/>
      <name val="Arial"/>
    </font>
  </fonts>
  <fills count="15">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8"/>
        <bgColor auto="1"/>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B050"/>
        <bgColor indexed="64"/>
      </patternFill>
    </fill>
  </fills>
  <borders count="386">
    <border>
      <left/>
      <right/>
      <top/>
      <bottom/>
      <diagonal/>
    </border>
    <border>
      <left style="thick">
        <color indexed="8"/>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ck">
        <color indexed="8"/>
      </right>
      <top style="thick">
        <color indexed="8"/>
      </top>
      <bottom style="thin">
        <color indexed="10"/>
      </bottom>
      <diagonal/>
    </border>
    <border>
      <left style="thin">
        <color indexed="10"/>
      </left>
      <right style="thick">
        <color indexed="10"/>
      </right>
      <top style="thick">
        <color indexed="8"/>
      </top>
      <bottom style="thin">
        <color indexed="10"/>
      </bottom>
      <diagonal/>
    </border>
    <border>
      <left style="thick">
        <color indexed="10"/>
      </left>
      <right style="thick">
        <color indexed="8"/>
      </right>
      <top style="thin">
        <color indexed="8"/>
      </top>
      <bottom style="thin">
        <color indexed="10"/>
      </bottom>
      <diagonal/>
    </border>
    <border>
      <left style="thin">
        <color indexed="11"/>
      </left>
      <right style="thin">
        <color indexed="11"/>
      </right>
      <top style="thin">
        <color indexed="11"/>
      </top>
      <bottom style="thin">
        <color indexed="11"/>
      </bottom>
      <diagonal/>
    </border>
    <border>
      <left style="thin">
        <color indexed="11"/>
      </left>
      <right style="thin">
        <color indexed="10"/>
      </right>
      <top style="thick">
        <color indexed="8"/>
      </top>
      <bottom style="thin">
        <color indexed="10"/>
      </bottom>
      <diagonal/>
    </border>
    <border>
      <left style="thick">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ck">
        <color indexed="8"/>
      </right>
      <top style="thin">
        <color indexed="10"/>
      </top>
      <bottom style="thin">
        <color indexed="10"/>
      </bottom>
      <diagonal/>
    </border>
    <border>
      <left style="thin">
        <color indexed="10"/>
      </left>
      <right style="thick">
        <color indexed="10"/>
      </right>
      <top style="thin">
        <color indexed="10"/>
      </top>
      <bottom style="thin">
        <color indexed="10"/>
      </bottom>
      <diagonal/>
    </border>
    <border>
      <left style="thick">
        <color indexed="10"/>
      </left>
      <right style="thick">
        <color indexed="8"/>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ck">
        <color indexed="8"/>
      </left>
      <right style="thin">
        <color indexed="10"/>
      </right>
      <top style="thin">
        <color indexed="10"/>
      </top>
      <bottom style="thick">
        <color indexed="8"/>
      </bottom>
      <diagonal/>
    </border>
    <border>
      <left style="thin">
        <color indexed="10"/>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
      <left style="thick">
        <color indexed="8"/>
      </left>
      <right style="thick">
        <color indexed="8"/>
      </right>
      <top style="thin">
        <color indexed="10"/>
      </top>
      <bottom style="thick">
        <color indexed="8"/>
      </bottom>
      <diagonal/>
    </border>
    <border>
      <left style="thick">
        <color indexed="10"/>
      </left>
      <right style="thick">
        <color indexed="8"/>
      </right>
      <top style="thin">
        <color indexed="10"/>
      </top>
      <bottom style="thin">
        <color indexed="8"/>
      </bottom>
      <diagonal/>
    </border>
    <border>
      <left style="thin">
        <color indexed="11"/>
      </left>
      <right style="thin">
        <color indexed="10"/>
      </right>
      <top style="thin">
        <color indexed="10"/>
      </top>
      <bottom style="thick">
        <color indexed="8"/>
      </bottom>
      <diagonal/>
    </border>
    <border>
      <left style="thin">
        <color indexed="10"/>
      </left>
      <right style="thin">
        <color indexed="10"/>
      </right>
      <top style="thick">
        <color indexed="8"/>
      </top>
      <bottom style="thin">
        <color indexed="8"/>
      </bottom>
      <diagonal/>
    </border>
    <border>
      <left style="thin">
        <color indexed="10"/>
      </left>
      <right style="thin">
        <color indexed="10"/>
      </right>
      <top style="thick">
        <color indexed="8"/>
      </top>
      <bottom style="thin">
        <color indexed="12"/>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1"/>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2"/>
      </right>
      <top style="thin">
        <color indexed="8"/>
      </top>
      <bottom style="thin">
        <color indexed="10"/>
      </bottom>
      <diagonal/>
    </border>
    <border>
      <left style="thin">
        <color indexed="12"/>
      </left>
      <right style="thin">
        <color indexed="12"/>
      </right>
      <top style="thin">
        <color indexed="8"/>
      </top>
      <bottom style="thin">
        <color indexed="10"/>
      </bottom>
      <diagonal/>
    </border>
    <border>
      <left style="thin">
        <color indexed="12"/>
      </left>
      <right style="thin">
        <color indexed="12"/>
      </right>
      <top style="thin">
        <color indexed="12"/>
      </top>
      <bottom style="thin">
        <color indexed="10"/>
      </bottom>
      <diagonal/>
    </border>
    <border>
      <left style="thin">
        <color indexed="12"/>
      </left>
      <right style="thin">
        <color indexed="10"/>
      </right>
      <top style="thin">
        <color indexed="8"/>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10"/>
      </top>
      <bottom style="thin">
        <color indexed="12"/>
      </bottom>
      <diagonal/>
    </border>
    <border>
      <left style="thin">
        <color indexed="12"/>
      </left>
      <right style="thin">
        <color indexed="10"/>
      </right>
      <top style="thin">
        <color indexed="10"/>
      </top>
      <bottom style="thin">
        <color indexed="10"/>
      </bottom>
      <diagonal/>
    </border>
    <border>
      <left style="thin">
        <color indexed="10"/>
      </left>
      <right style="thin">
        <color indexed="12"/>
      </right>
      <top style="thin">
        <color indexed="12"/>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style="thin">
        <color indexed="12"/>
      </top>
      <bottom style="thin">
        <color indexed="12"/>
      </bottom>
      <diagonal/>
    </border>
    <border>
      <left style="thin">
        <color indexed="10"/>
      </left>
      <right style="thin">
        <color indexed="12"/>
      </right>
      <top style="thin">
        <color indexed="12"/>
      </top>
      <bottom style="thin">
        <color indexed="12"/>
      </bottom>
      <diagonal/>
    </border>
    <border>
      <left style="thin">
        <color indexed="10"/>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10"/>
      </bottom>
      <diagonal/>
    </border>
    <border>
      <left style="thin">
        <color indexed="10"/>
      </left>
      <right style="thin">
        <color indexed="12"/>
      </right>
      <top style="thin">
        <color indexed="10"/>
      </top>
      <bottom style="medium">
        <color indexed="8"/>
      </bottom>
      <diagonal/>
    </border>
    <border>
      <left style="thin">
        <color indexed="12"/>
      </left>
      <right style="thin">
        <color indexed="12"/>
      </right>
      <top style="thin">
        <color indexed="12"/>
      </top>
      <bottom style="medium">
        <color indexed="8"/>
      </bottom>
      <diagonal/>
    </border>
    <border>
      <left style="thin">
        <color indexed="12"/>
      </left>
      <right style="thin">
        <color indexed="10"/>
      </right>
      <top style="thin">
        <color indexed="10"/>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0"/>
      </right>
      <top style="medium">
        <color indexed="8"/>
      </top>
      <bottom style="medium">
        <color indexed="8"/>
      </bottom>
      <diagonal/>
    </border>
    <border>
      <left style="thin">
        <color indexed="10"/>
      </left>
      <right style="medium">
        <color indexed="10"/>
      </right>
      <top style="medium">
        <color indexed="8"/>
      </top>
      <bottom style="medium">
        <color indexed="8"/>
      </bottom>
      <diagonal/>
    </border>
    <border>
      <left style="medium">
        <color indexed="10"/>
      </left>
      <right style="thin">
        <color indexed="10"/>
      </right>
      <top style="medium">
        <color indexed="8"/>
      </top>
      <bottom style="medium">
        <color indexed="8"/>
      </bottom>
      <diagonal/>
    </border>
    <border>
      <left style="thin">
        <color indexed="10"/>
      </left>
      <right style="medium">
        <color indexed="10"/>
      </right>
      <top style="medium">
        <color indexed="10"/>
      </top>
      <bottom style="medium">
        <color indexed="10"/>
      </bottom>
      <diagonal/>
    </border>
    <border>
      <left style="thin">
        <color indexed="10"/>
      </left>
      <right style="thin">
        <color indexed="8"/>
      </right>
      <top style="medium">
        <color indexed="8"/>
      </top>
      <bottom style="medium">
        <color indexed="8"/>
      </bottom>
      <diagonal/>
    </border>
    <border>
      <left style="thin">
        <color indexed="8"/>
      </left>
      <right style="thin">
        <color indexed="12"/>
      </right>
      <top style="medium">
        <color indexed="8"/>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medium">
        <color indexed="10"/>
      </right>
      <top style="medium">
        <color indexed="8"/>
      </top>
      <bottom style="medium">
        <color indexed="8"/>
      </bottom>
      <diagonal/>
    </border>
    <border>
      <left style="medium">
        <color indexed="10"/>
      </left>
      <right style="medium">
        <color indexed="10"/>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medium">
        <color indexed="10"/>
      </top>
      <bottom style="thin">
        <color indexed="10"/>
      </bottom>
      <diagonal/>
    </border>
    <border>
      <left style="thin">
        <color indexed="10"/>
      </left>
      <right style="thin">
        <color indexed="12"/>
      </right>
      <top style="medium">
        <color indexed="8"/>
      </top>
      <bottom style="thin">
        <color indexed="10"/>
      </bottom>
      <diagonal/>
    </border>
    <border>
      <left style="thin">
        <color indexed="12"/>
      </left>
      <right style="thin">
        <color indexed="12"/>
      </right>
      <top style="medium">
        <color indexed="8"/>
      </top>
      <bottom style="thin">
        <color indexed="10"/>
      </bottom>
      <diagonal/>
    </border>
    <border>
      <left style="thin">
        <color indexed="12"/>
      </left>
      <right style="thin">
        <color indexed="10"/>
      </right>
      <top style="medium">
        <color indexed="8"/>
      </top>
      <bottom style="thin">
        <color indexed="10"/>
      </bottom>
      <diagonal/>
    </border>
    <border>
      <left style="thin">
        <color indexed="10"/>
      </left>
      <right style="thin">
        <color indexed="8"/>
      </right>
      <top style="medium">
        <color indexed="8"/>
      </top>
      <bottom style="thin">
        <color indexed="10"/>
      </bottom>
      <diagonal/>
    </border>
    <border>
      <left style="thin">
        <color indexed="8"/>
      </left>
      <right style="thin">
        <color indexed="8"/>
      </right>
      <top style="medium">
        <color indexed="8"/>
      </top>
      <bottom style="thin">
        <color indexed="10"/>
      </bottom>
      <diagonal/>
    </border>
    <border>
      <left style="thin">
        <color indexed="8"/>
      </left>
      <right style="thin">
        <color indexed="10"/>
      </right>
      <top style="medium">
        <color indexed="8"/>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12"/>
      </right>
      <top style="thin">
        <color indexed="10"/>
      </top>
      <bottom style="thin">
        <color indexed="8"/>
      </bottom>
      <diagonal/>
    </border>
    <border>
      <left style="thin">
        <color indexed="12"/>
      </left>
      <right style="thin">
        <color indexed="12"/>
      </right>
      <top style="thin">
        <color indexed="12"/>
      </top>
      <bottom style="thin">
        <color indexed="8"/>
      </bottom>
      <diagonal/>
    </border>
    <border>
      <left style="thin">
        <color indexed="12"/>
      </left>
      <right style="thin">
        <color indexed="10"/>
      </right>
      <top style="thin">
        <color indexed="10"/>
      </top>
      <bottom style="thin">
        <color indexed="8"/>
      </bottom>
      <diagonal/>
    </border>
    <border>
      <left style="thin">
        <color indexed="10"/>
      </left>
      <right style="thin">
        <color indexed="10"/>
      </right>
      <top style="thin">
        <color indexed="8"/>
      </top>
      <bottom style="medium">
        <color indexed="8"/>
      </bottom>
      <diagonal/>
    </border>
    <border>
      <left style="thin">
        <color indexed="10"/>
      </left>
      <right style="thin">
        <color indexed="8"/>
      </right>
      <top style="thin">
        <color indexed="8"/>
      </top>
      <bottom style="medium">
        <color indexed="8"/>
      </bottom>
      <diagonal/>
    </border>
    <border>
      <left style="thin">
        <color indexed="8"/>
      </left>
      <right style="thin">
        <color indexed="12"/>
      </right>
      <top style="thin">
        <color indexed="8"/>
      </top>
      <bottom style="medium">
        <color indexed="8"/>
      </bottom>
      <diagonal/>
    </border>
    <border>
      <left style="thin">
        <color indexed="12"/>
      </left>
      <right style="thin">
        <color indexed="12"/>
      </right>
      <top style="thin">
        <color indexed="8"/>
      </top>
      <bottom style="medium">
        <color indexed="8"/>
      </bottom>
      <diagonal/>
    </border>
    <border>
      <left style="thin">
        <color indexed="12"/>
      </left>
      <right style="thin">
        <color indexed="10"/>
      </right>
      <top style="thin">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10"/>
      </right>
      <top style="medium">
        <color indexed="8"/>
      </top>
      <bottom style="thick">
        <color indexed="11"/>
      </bottom>
      <diagonal/>
    </border>
    <border>
      <left style="thin">
        <color indexed="10"/>
      </left>
      <right style="thin">
        <color indexed="10"/>
      </right>
      <top style="medium">
        <color indexed="8"/>
      </top>
      <bottom style="thick">
        <color indexed="11"/>
      </bottom>
      <diagonal/>
    </border>
    <border>
      <left style="thin">
        <color indexed="10"/>
      </left>
      <right style="thin">
        <color indexed="10"/>
      </right>
      <top style="medium">
        <color indexed="10"/>
      </top>
      <bottom style="thick">
        <color indexed="11"/>
      </bottom>
      <diagonal/>
    </border>
    <border>
      <left style="thin">
        <color indexed="12"/>
      </left>
      <right style="thin">
        <color indexed="10"/>
      </right>
      <top style="medium">
        <color indexed="8"/>
      </top>
      <bottom style="medium">
        <color indexed="8"/>
      </bottom>
      <diagonal/>
    </border>
    <border>
      <left style="thin">
        <color indexed="10"/>
      </left>
      <right style="thin">
        <color indexed="10"/>
      </right>
      <top style="thick">
        <color indexed="11"/>
      </top>
      <bottom style="thin">
        <color indexed="8"/>
      </bottom>
      <diagonal/>
    </border>
    <border>
      <left style="thin">
        <color indexed="10"/>
      </left>
      <right style="thin">
        <color indexed="10"/>
      </right>
      <top style="thick">
        <color indexed="11"/>
      </top>
      <bottom style="thin">
        <color indexed="10"/>
      </bottom>
      <diagonal/>
    </border>
    <border>
      <left style="thin">
        <color indexed="10"/>
      </left>
      <right style="thin">
        <color indexed="10"/>
      </right>
      <top style="medium">
        <color indexed="8"/>
      </top>
      <bottom style="thin">
        <color indexed="8"/>
      </bottom>
      <diagonal/>
    </border>
    <border>
      <left style="thin">
        <color indexed="10"/>
      </left>
      <right style="thin">
        <color indexed="12"/>
      </right>
      <top style="medium">
        <color indexed="8"/>
      </top>
      <bottom style="thin">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0"/>
      </right>
      <top style="medium">
        <color indexed="8"/>
      </top>
      <bottom style="thin">
        <color indexed="8"/>
      </bottom>
      <diagonal/>
    </border>
    <border>
      <left style="thin">
        <color indexed="10"/>
      </left>
      <right style="thin">
        <color indexed="12"/>
      </right>
      <top style="thin">
        <color indexed="8"/>
      </top>
      <bottom style="thin">
        <color indexed="12"/>
      </bottom>
      <diagonal/>
    </border>
    <border>
      <left style="thin">
        <color indexed="10"/>
      </left>
      <right style="thin">
        <color indexed="12"/>
      </right>
      <top style="medium">
        <color indexed="8"/>
      </top>
      <bottom style="thin">
        <color indexed="12"/>
      </bottom>
      <diagonal/>
    </border>
    <border>
      <left style="thin">
        <color indexed="12"/>
      </left>
      <right style="thin">
        <color indexed="12"/>
      </right>
      <top style="thin">
        <color indexed="10"/>
      </top>
      <bottom style="thin">
        <color indexed="10"/>
      </bottom>
      <diagonal/>
    </border>
    <border>
      <left style="thin">
        <color indexed="10"/>
      </left>
      <right style="thin">
        <color indexed="8"/>
      </right>
      <top style="thin">
        <color indexed="10"/>
      </top>
      <bottom style="thin">
        <color indexed="8"/>
      </bottom>
      <diagonal/>
    </border>
    <border>
      <left style="thin">
        <color indexed="8"/>
      </left>
      <right style="thin">
        <color indexed="12"/>
      </right>
      <top style="thin">
        <color indexed="10"/>
      </top>
      <bottom style="thin">
        <color indexed="8"/>
      </bottom>
      <diagonal/>
    </border>
    <border>
      <left style="thin">
        <color indexed="12"/>
      </left>
      <right style="thin">
        <color indexed="12"/>
      </right>
      <top style="thin">
        <color indexed="10"/>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12"/>
      </left>
      <right style="thin">
        <color indexed="10"/>
      </right>
      <top style="thin">
        <color indexed="8"/>
      </top>
      <bottom style="thin">
        <color indexed="8"/>
      </bottom>
      <diagonal/>
    </border>
    <border>
      <left style="thin">
        <color indexed="10"/>
      </left>
      <right style="medium">
        <color indexed="8"/>
      </right>
      <top style="medium">
        <color indexed="8"/>
      </top>
      <bottom style="medium">
        <color indexed="8"/>
      </bottom>
      <diagonal/>
    </border>
    <border>
      <left style="thin">
        <color indexed="10"/>
      </left>
      <right style="medium">
        <color indexed="8"/>
      </right>
      <top style="medium">
        <color indexed="8"/>
      </top>
      <bottom style="thin">
        <color indexed="10"/>
      </bottom>
      <diagonal/>
    </border>
    <border>
      <left style="medium">
        <color indexed="8"/>
      </left>
      <right style="thin">
        <color indexed="10"/>
      </right>
      <top style="medium">
        <color indexed="8"/>
      </top>
      <bottom style="thin">
        <color indexed="10"/>
      </bottom>
      <diagonal/>
    </border>
    <border>
      <left style="medium">
        <color indexed="8"/>
      </left>
      <right style="medium">
        <color indexed="8"/>
      </right>
      <top style="medium">
        <color indexed="8"/>
      </top>
      <bottom style="thin">
        <color indexed="10"/>
      </bottom>
      <diagonal/>
    </border>
    <border>
      <left style="medium">
        <color indexed="8"/>
      </left>
      <right style="thin">
        <color indexed="10"/>
      </right>
      <top style="thin">
        <color indexed="10"/>
      </top>
      <bottom style="thin">
        <color indexed="10"/>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thin">
        <color indexed="10"/>
      </top>
      <bottom style="thin">
        <color indexed="10"/>
      </bottom>
      <diagonal/>
    </border>
    <border>
      <left style="thick">
        <color indexed="8"/>
      </left>
      <right style="thin">
        <color indexed="10"/>
      </right>
      <top style="thick">
        <color indexed="8"/>
      </top>
      <bottom/>
      <diagonal/>
    </border>
    <border>
      <left style="thin">
        <color indexed="10"/>
      </left>
      <right style="thin">
        <color indexed="10"/>
      </right>
      <top style="thick">
        <color indexed="8"/>
      </top>
      <bottom/>
      <diagonal/>
    </border>
    <border>
      <left style="thin">
        <color indexed="10"/>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diagonal/>
    </border>
    <border>
      <left/>
      <right/>
      <top/>
      <bottom/>
      <diagonal/>
    </border>
    <border>
      <left/>
      <right style="thick">
        <color indexed="8"/>
      </right>
      <top/>
      <bottom/>
      <diagonal/>
    </border>
    <border>
      <left style="thick">
        <color indexed="8"/>
      </left>
      <right/>
      <top/>
      <bottom style="thick">
        <color indexed="8"/>
      </bottom>
      <diagonal/>
    </border>
    <border>
      <left/>
      <right/>
      <top/>
      <bottom style="thick">
        <color indexed="8"/>
      </bottom>
      <diagonal/>
    </border>
    <border>
      <left style="medium">
        <color indexed="8"/>
      </left>
      <right style="thin">
        <color indexed="10"/>
      </right>
      <top style="thin">
        <color indexed="10"/>
      </top>
      <bottom style="medium">
        <color indexed="8"/>
      </bottom>
      <diagonal/>
    </border>
    <border>
      <left style="thin">
        <color indexed="10"/>
      </left>
      <right style="medium">
        <color indexed="8"/>
      </right>
      <top style="thin">
        <color indexed="10"/>
      </top>
      <bottom style="medium">
        <color indexed="8"/>
      </bottom>
      <diagonal/>
    </border>
    <border>
      <left style="thin">
        <color indexed="12"/>
      </left>
      <right style="thin">
        <color indexed="12"/>
      </right>
      <top style="thin">
        <color indexed="8"/>
      </top>
      <bottom style="thin">
        <color indexed="12"/>
      </bottom>
      <diagonal/>
    </border>
    <border>
      <left style="thin">
        <color indexed="10"/>
      </left>
      <right style="thin">
        <color indexed="10"/>
      </right>
      <top style="thin">
        <color indexed="12"/>
      </top>
      <bottom style="thick">
        <color indexed="8"/>
      </bottom>
      <diagonal/>
    </border>
    <border>
      <left style="thin">
        <color indexed="10"/>
      </left>
      <right style="thin">
        <color indexed="10"/>
      </right>
      <top style="thin">
        <color indexed="12"/>
      </top>
      <bottom style="thin">
        <color indexed="10"/>
      </bottom>
      <diagonal/>
    </border>
    <border>
      <left style="thick">
        <color indexed="8"/>
      </left>
      <right style="thick">
        <color indexed="8"/>
      </right>
      <top style="thick">
        <color indexed="8"/>
      </top>
      <bottom style="thick">
        <color indexed="8"/>
      </bottom>
      <diagonal/>
    </border>
    <border>
      <left style="thin">
        <color indexed="12"/>
      </left>
      <right style="thin">
        <color indexed="10"/>
      </right>
      <top style="thin">
        <color indexed="8"/>
      </top>
      <bottom style="thin">
        <color indexed="12"/>
      </bottom>
      <diagonal/>
    </border>
    <border>
      <left style="thin">
        <color indexed="12"/>
      </left>
      <right style="thin">
        <color indexed="12"/>
      </right>
      <top style="thin">
        <color indexed="12"/>
      </top>
      <bottom style="thin">
        <color indexed="11"/>
      </bottom>
      <diagonal/>
    </border>
    <border>
      <left style="thin">
        <color indexed="12"/>
      </left>
      <right style="thin">
        <color indexed="10"/>
      </right>
      <top style="thin">
        <color indexed="12"/>
      </top>
      <bottom style="thin">
        <color indexed="11"/>
      </bottom>
      <diagonal/>
    </border>
    <border>
      <left style="thin">
        <color indexed="10"/>
      </left>
      <right style="thin">
        <color indexed="12"/>
      </right>
      <top style="thin">
        <color indexed="8"/>
      </top>
      <bottom style="thin">
        <color indexed="8"/>
      </bottom>
      <diagonal/>
    </border>
    <border>
      <left style="thin">
        <color indexed="12"/>
      </left>
      <right style="thin">
        <color indexed="12"/>
      </right>
      <top style="thin">
        <color indexed="11"/>
      </top>
      <bottom style="thin">
        <color indexed="8"/>
      </bottom>
      <diagonal/>
    </border>
    <border>
      <left style="thin">
        <color indexed="12"/>
      </left>
      <right style="thin">
        <color indexed="10"/>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8"/>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8"/>
      </bottom>
      <diagonal/>
    </border>
    <border>
      <left style="thin">
        <color indexed="11"/>
      </left>
      <right style="thin">
        <color indexed="11"/>
      </right>
      <top style="thin">
        <color indexed="10"/>
      </top>
      <bottom style="thin">
        <color indexed="11"/>
      </bottom>
      <diagonal/>
    </border>
    <border>
      <left style="thin">
        <color indexed="11"/>
      </left>
      <right style="thin">
        <color indexed="10"/>
      </right>
      <top style="thin">
        <color indexed="10"/>
      </top>
      <bottom style="thin">
        <color indexed="8"/>
      </bottom>
      <diagonal/>
    </border>
    <border>
      <left style="thin">
        <color indexed="10"/>
      </left>
      <right style="thin">
        <color indexed="11"/>
      </right>
      <top style="thin">
        <color indexed="8"/>
      </top>
      <bottom style="thin">
        <color indexed="8"/>
      </bottom>
      <diagonal/>
    </border>
    <border>
      <left style="thin">
        <color indexed="11"/>
      </left>
      <right style="thin">
        <color indexed="10"/>
      </right>
      <top style="thin">
        <color indexed="8"/>
      </top>
      <bottom style="thin">
        <color indexed="8"/>
      </bottom>
      <diagonal/>
    </border>
    <border>
      <left style="thin">
        <color indexed="8"/>
      </left>
      <right style="thin">
        <color indexed="10"/>
      </right>
      <top style="thin">
        <color indexed="8"/>
      </top>
      <bottom style="thin">
        <color indexed="8"/>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2"/>
      </top>
      <bottom style="thick">
        <color indexed="8"/>
      </bottom>
      <diagonal/>
    </border>
    <border>
      <left style="thin">
        <color indexed="12"/>
      </left>
      <right style="thin">
        <color indexed="10"/>
      </right>
      <top style="thin">
        <color indexed="8"/>
      </top>
      <bottom style="thick">
        <color indexed="8"/>
      </bottom>
      <diagonal/>
    </border>
    <border>
      <left style="thick">
        <color indexed="8"/>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
      <left style="thick">
        <color indexed="8"/>
      </left>
      <right style="thick">
        <color indexed="8"/>
      </right>
      <top style="thin">
        <color indexed="8"/>
      </top>
      <bottom style="thin">
        <color indexed="10"/>
      </bottom>
      <diagonal/>
    </border>
    <border>
      <left style="thin">
        <color indexed="10"/>
      </left>
      <right style="thin">
        <color indexed="10"/>
      </right>
      <top style="thick">
        <color indexed="8"/>
      </top>
      <bottom style="thick">
        <color indexed="11"/>
      </bottom>
      <diagonal/>
    </border>
    <border>
      <left style="thick">
        <color indexed="11"/>
      </left>
      <right style="thin">
        <color indexed="10"/>
      </right>
      <top style="thick">
        <color indexed="11"/>
      </top>
      <bottom style="thin">
        <color indexed="10"/>
      </bottom>
      <diagonal/>
    </border>
    <border>
      <left style="thin">
        <color indexed="10"/>
      </left>
      <right style="thick">
        <color indexed="11"/>
      </right>
      <top style="thin">
        <color indexed="10"/>
      </top>
      <bottom style="thin">
        <color indexed="10"/>
      </bottom>
      <diagonal/>
    </border>
    <border>
      <left style="thick">
        <color indexed="11"/>
      </left>
      <right style="thin">
        <color indexed="10"/>
      </right>
      <top style="thin">
        <color indexed="10"/>
      </top>
      <bottom style="thin">
        <color indexed="10"/>
      </bottom>
      <diagonal/>
    </border>
    <border>
      <left style="thick">
        <color indexed="8"/>
      </left>
      <right/>
      <top style="thick">
        <color indexed="8"/>
      </top>
      <bottom/>
      <diagonal/>
    </border>
    <border>
      <left style="thick">
        <color indexed="8"/>
      </left>
      <right style="thick">
        <color indexed="11"/>
      </right>
      <top style="thin">
        <color indexed="10"/>
      </top>
      <bottom style="thin">
        <color indexed="10"/>
      </bottom>
      <diagonal/>
    </border>
    <border>
      <left style="thick">
        <color indexed="11"/>
      </left>
      <right style="thin">
        <color indexed="10"/>
      </right>
      <top style="thin">
        <color indexed="10"/>
      </top>
      <bottom style="thick">
        <color indexed="11"/>
      </bottom>
      <diagonal/>
    </border>
    <border>
      <left style="thin">
        <color indexed="10"/>
      </left>
      <right style="thin">
        <color indexed="10"/>
      </right>
      <top style="thin">
        <color indexed="10"/>
      </top>
      <bottom style="thick">
        <color indexed="11"/>
      </bottom>
      <diagonal/>
    </border>
    <border>
      <left style="thin">
        <color indexed="10"/>
      </left>
      <right style="thick">
        <color indexed="11"/>
      </right>
      <top style="thin">
        <color indexed="10"/>
      </top>
      <bottom style="thick">
        <color indexed="11"/>
      </bottom>
      <diagonal/>
    </border>
    <border>
      <left style="thin">
        <color indexed="10"/>
      </left>
      <right style="thin">
        <color indexed="10"/>
      </right>
      <top style="thin">
        <color indexed="10"/>
      </top>
      <bottom style="thin">
        <color indexed="12"/>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medium">
        <color indexed="8"/>
      </top>
      <bottom/>
      <diagonal/>
    </border>
    <border>
      <left style="thin">
        <color indexed="8"/>
      </left>
      <right style="thin">
        <color indexed="8"/>
      </right>
      <top/>
      <bottom/>
      <diagonal/>
    </border>
    <border>
      <left style="thin">
        <color indexed="8"/>
      </left>
      <right style="thin">
        <color indexed="8"/>
      </right>
      <top/>
      <bottom style="medium">
        <color indexed="8"/>
      </bottom>
      <diagonal/>
    </border>
    <border>
      <left style="medium">
        <color indexed="8"/>
      </left>
      <right style="thin">
        <color indexed="10"/>
      </right>
      <top style="thin">
        <color indexed="8"/>
      </top>
      <bottom style="thin">
        <color indexed="10"/>
      </bottom>
      <diagonal/>
    </border>
    <border>
      <left style="medium">
        <color indexed="8"/>
      </left>
      <right style="medium">
        <color indexed="8"/>
      </right>
      <top style="thin">
        <color indexed="10"/>
      </top>
      <bottom style="medium">
        <color indexed="8"/>
      </bottom>
      <diagonal/>
    </border>
    <border>
      <left style="medium">
        <color indexed="8"/>
      </left>
      <right style="thin">
        <color indexed="10"/>
      </right>
      <top style="medium">
        <color indexed="11"/>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thin">
        <color indexed="8"/>
      </top>
      <bottom style="thin">
        <color indexed="10"/>
      </bottom>
      <diagonal/>
    </border>
    <border>
      <left style="medium">
        <color indexed="8"/>
      </left>
      <right style="medium">
        <color indexed="8"/>
      </right>
      <top style="thin">
        <color indexed="8"/>
      </top>
      <bottom style="medium">
        <color indexed="8"/>
      </bottom>
      <diagonal/>
    </border>
    <border>
      <left style="medium">
        <color indexed="8"/>
      </left>
      <right style="thin">
        <color indexed="10"/>
      </right>
      <top style="thin">
        <color indexed="8"/>
      </top>
      <bottom style="thin">
        <color indexed="8"/>
      </bottom>
      <diagonal/>
    </border>
    <border>
      <left style="thin">
        <color indexed="10"/>
      </left>
      <right style="thin">
        <color indexed="10"/>
      </right>
      <top style="medium">
        <color indexed="11"/>
      </top>
      <bottom style="thin">
        <color indexed="10"/>
      </bottom>
      <diagonal/>
    </border>
    <border>
      <left style="thick">
        <color indexed="11"/>
      </left>
      <right style="thick">
        <color indexed="11"/>
      </right>
      <top style="thick">
        <color indexed="11"/>
      </top>
      <bottom style="thick">
        <color indexed="11"/>
      </bottom>
      <diagonal/>
    </border>
    <border>
      <left style="thin">
        <color indexed="16"/>
      </left>
      <right style="thin">
        <color indexed="16"/>
      </right>
      <top style="thin">
        <color indexed="16"/>
      </top>
      <bottom style="thin">
        <color indexed="17"/>
      </bottom>
      <diagonal/>
    </border>
    <border>
      <left style="thin">
        <color indexed="16"/>
      </left>
      <right style="thin">
        <color indexed="16"/>
      </right>
      <top style="thin">
        <color indexed="17"/>
      </top>
      <bottom style="thin">
        <color indexed="16"/>
      </bottom>
      <diagonal/>
    </border>
    <border>
      <left style="thin">
        <color indexed="16"/>
      </left>
      <right style="thin">
        <color indexed="17"/>
      </right>
      <top style="thin">
        <color indexed="17"/>
      </top>
      <bottom style="thin">
        <color indexed="16"/>
      </bottom>
      <diagonal/>
    </border>
    <border>
      <left style="thin">
        <color indexed="17"/>
      </left>
      <right style="thin">
        <color indexed="16"/>
      </right>
      <top style="thin">
        <color indexed="17"/>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17"/>
      </right>
      <top style="thin">
        <color indexed="16"/>
      </top>
      <bottom style="thin">
        <color indexed="16"/>
      </bottom>
      <diagonal/>
    </border>
    <border>
      <left style="thin">
        <color indexed="17"/>
      </left>
      <right style="thin">
        <color indexed="16"/>
      </right>
      <top style="thin">
        <color indexed="16"/>
      </top>
      <bottom style="medium">
        <color indexed="8"/>
      </bottom>
      <diagonal/>
    </border>
    <border>
      <left style="thin">
        <color indexed="16"/>
      </left>
      <right style="thin">
        <color indexed="16"/>
      </right>
      <top style="thin">
        <color indexed="16"/>
      </top>
      <bottom style="medium">
        <color indexed="8"/>
      </bottom>
      <diagonal/>
    </border>
    <border>
      <left style="thin">
        <color indexed="16"/>
      </left>
      <right style="medium">
        <color indexed="8"/>
      </right>
      <top style="thin">
        <color indexed="16"/>
      </top>
      <bottom style="thin">
        <color indexed="16"/>
      </bottom>
      <diagonal/>
    </border>
    <border>
      <left style="medium">
        <color indexed="8"/>
      </left>
      <right style="thin">
        <color indexed="16"/>
      </right>
      <top style="medium">
        <color indexed="8"/>
      </top>
      <bottom style="medium">
        <color indexed="8"/>
      </bottom>
      <diagonal/>
    </border>
    <border>
      <left style="thin">
        <color indexed="16"/>
      </left>
      <right style="medium">
        <color indexed="8"/>
      </right>
      <top style="medium">
        <color indexed="8"/>
      </top>
      <bottom style="medium">
        <color indexed="8"/>
      </bottom>
      <diagonal/>
    </border>
    <border>
      <left style="thin">
        <color indexed="17"/>
      </left>
      <right style="thin">
        <color indexed="16"/>
      </right>
      <top style="medium">
        <color indexed="8"/>
      </top>
      <bottom style="thin">
        <color indexed="16"/>
      </bottom>
      <diagonal/>
    </border>
    <border>
      <left style="thin">
        <color indexed="16"/>
      </left>
      <right style="thin">
        <color indexed="16"/>
      </right>
      <top style="medium">
        <color indexed="8"/>
      </top>
      <bottom style="thin">
        <color indexed="16"/>
      </bottom>
      <diagonal/>
    </border>
    <border>
      <left style="thin">
        <color indexed="16"/>
      </left>
      <right style="thin">
        <color indexed="16"/>
      </right>
      <top style="medium">
        <color indexed="8"/>
      </top>
      <bottom style="medium">
        <color indexed="8"/>
      </bottom>
      <diagonal/>
    </border>
    <border>
      <left style="thin">
        <color indexed="17"/>
      </left>
      <right style="thin">
        <color indexed="16"/>
      </right>
      <top style="thin">
        <color indexed="16"/>
      </top>
      <bottom style="thin">
        <color indexed="16"/>
      </bottom>
      <diagonal/>
    </border>
    <border>
      <left style="medium">
        <color indexed="8"/>
      </left>
      <right style="medium">
        <color indexed="8"/>
      </right>
      <top style="medium">
        <color indexed="8"/>
      </top>
      <bottom style="thin">
        <color indexed="16"/>
      </bottom>
      <diagonal/>
    </border>
    <border>
      <left style="medium">
        <color indexed="8"/>
      </left>
      <right style="medium">
        <color indexed="8"/>
      </right>
      <top style="thin">
        <color indexed="16"/>
      </top>
      <bottom style="medium">
        <color indexed="8"/>
      </bottom>
      <diagonal/>
    </border>
    <border>
      <left style="medium">
        <color indexed="8"/>
      </left>
      <right style="medium">
        <color indexed="8"/>
      </right>
      <top style="thin">
        <color indexed="16"/>
      </top>
      <bottom style="thin">
        <color indexed="16"/>
      </bottom>
      <diagonal/>
    </border>
    <border>
      <left style="thin">
        <color indexed="10"/>
      </left>
      <right style="thin">
        <color indexed="10"/>
      </right>
      <top style="thin">
        <color indexed="10"/>
      </top>
      <bottom/>
      <diagonal/>
    </border>
    <border>
      <left style="thin">
        <color indexed="10"/>
      </left>
      <right style="medium">
        <color indexed="8"/>
      </right>
      <top style="thin">
        <color indexed="10"/>
      </top>
      <bottom/>
      <diagonal/>
    </border>
    <border>
      <left style="medium">
        <color indexed="8"/>
      </left>
      <right style="medium">
        <color indexed="8"/>
      </right>
      <top style="thin">
        <color indexed="10"/>
      </top>
      <bottom/>
      <diagonal/>
    </border>
    <border>
      <left style="thin">
        <color indexed="10"/>
      </left>
      <right/>
      <top/>
      <bottom/>
      <diagonal/>
    </border>
    <border>
      <left/>
      <right style="medium">
        <color indexed="8"/>
      </right>
      <top/>
      <bottom/>
      <diagonal/>
    </border>
    <border>
      <left style="medium">
        <color indexed="8"/>
      </left>
      <right style="medium">
        <color indexed="8"/>
      </right>
      <top/>
      <bottom/>
      <diagonal/>
    </border>
    <border>
      <left style="thin">
        <color indexed="10"/>
      </left>
      <right style="thin">
        <color indexed="10"/>
      </right>
      <top/>
      <bottom style="thin">
        <color indexed="10"/>
      </bottom>
      <diagonal/>
    </border>
    <border>
      <left style="thin">
        <color indexed="10"/>
      </left>
      <right style="medium">
        <color indexed="8"/>
      </right>
      <top/>
      <bottom style="thin">
        <color indexed="10"/>
      </bottom>
      <diagonal/>
    </border>
    <border>
      <left style="medium">
        <color indexed="8"/>
      </left>
      <right style="medium">
        <color indexed="8"/>
      </right>
      <top/>
      <bottom style="thin">
        <color indexed="10"/>
      </bottom>
      <diagonal/>
    </border>
    <border>
      <left style="medium">
        <color indexed="8"/>
      </left>
      <right style="thin">
        <color indexed="10"/>
      </right>
      <top/>
      <bottom style="thin">
        <color indexed="10"/>
      </bottom>
      <diagonal/>
    </border>
    <border>
      <left style="medium">
        <color indexed="8"/>
      </left>
      <right style="thin">
        <color indexed="10"/>
      </right>
      <top style="thin">
        <color indexed="8"/>
      </top>
      <bottom/>
      <diagonal/>
    </border>
    <border>
      <left style="thin">
        <color indexed="10"/>
      </left>
      <right style="thin">
        <color indexed="10"/>
      </right>
      <top style="thin">
        <color indexed="8"/>
      </top>
      <bottom/>
      <diagonal/>
    </border>
    <border>
      <left style="thin">
        <color indexed="10"/>
      </left>
      <right/>
      <top/>
      <bottom style="thin">
        <color indexed="10"/>
      </bottom>
      <diagonal/>
    </border>
    <border>
      <left/>
      <right style="medium">
        <color indexed="8"/>
      </right>
      <top/>
      <bottom style="thin">
        <color indexed="10"/>
      </bottom>
      <diagonal/>
    </border>
    <border>
      <left/>
      <right style="thin">
        <color indexed="10"/>
      </right>
      <top style="thin">
        <color indexed="10"/>
      </top>
      <bottom style="thin">
        <color indexed="10"/>
      </bottom>
      <diagonal/>
    </border>
    <border>
      <left style="thin">
        <color indexed="10"/>
      </left>
      <right/>
      <top style="thin">
        <color indexed="10"/>
      </top>
      <bottom style="thin">
        <color indexed="10"/>
      </bottom>
      <diagonal/>
    </border>
    <border>
      <left/>
      <right style="medium">
        <color indexed="8"/>
      </right>
      <top style="thin">
        <color indexed="10"/>
      </top>
      <bottom style="thin">
        <color indexed="10"/>
      </bottom>
      <diagonal/>
    </border>
    <border>
      <left/>
      <right/>
      <top style="thin">
        <color indexed="10"/>
      </top>
      <bottom style="thin">
        <color indexed="10"/>
      </bottom>
      <diagonal/>
    </border>
    <border>
      <left/>
      <right style="thin">
        <color indexed="10"/>
      </right>
      <top style="thick">
        <color indexed="8"/>
      </top>
      <bottom style="thin">
        <color indexed="10"/>
      </bottom>
      <diagonal/>
    </border>
    <border>
      <left/>
      <right style="thin">
        <color indexed="10"/>
      </right>
      <top style="thin">
        <color indexed="10"/>
      </top>
      <bottom style="thick">
        <color indexed="8"/>
      </bottom>
      <diagonal/>
    </border>
    <border>
      <left style="thin">
        <color indexed="10"/>
      </left>
      <right style="thin">
        <color indexed="10"/>
      </right>
      <top/>
      <bottom/>
      <diagonal/>
    </border>
    <border>
      <left/>
      <right style="medium">
        <color indexed="8"/>
      </right>
      <top style="thin">
        <color indexed="10"/>
      </top>
      <bottom style="medium">
        <color indexed="8"/>
      </bottom>
      <diagonal/>
    </border>
    <border>
      <left/>
      <right style="medium">
        <color indexed="8"/>
      </right>
      <top style="medium">
        <color indexed="8"/>
      </top>
      <bottom style="thin">
        <color indexed="10"/>
      </bottom>
      <diagonal/>
    </border>
    <border>
      <left style="thin">
        <color indexed="10"/>
      </left>
      <right/>
      <top style="medium">
        <color indexed="8"/>
      </top>
      <bottom style="medium">
        <color indexed="8"/>
      </bottom>
      <diagonal/>
    </border>
    <border>
      <left/>
      <right style="medium">
        <color indexed="8"/>
      </right>
      <top style="medium">
        <color indexed="8"/>
      </top>
      <bottom/>
      <diagonal/>
    </border>
    <border>
      <left/>
      <right style="medium">
        <color indexed="8"/>
      </right>
      <top/>
      <bottom style="medium">
        <color indexed="8"/>
      </bottom>
      <diagonal/>
    </border>
    <border>
      <left style="thin">
        <color indexed="10"/>
      </left>
      <right/>
      <top style="thin">
        <color indexed="10"/>
      </top>
      <bottom style="medium">
        <color indexed="8"/>
      </bottom>
      <diagonal/>
    </border>
    <border>
      <left/>
      <right style="medium">
        <color indexed="8"/>
      </right>
      <top style="thin">
        <color indexed="10"/>
      </top>
      <bottom/>
      <diagonal/>
    </border>
    <border>
      <left style="thin">
        <color indexed="10"/>
      </left>
      <right/>
      <top style="medium">
        <color indexed="8"/>
      </top>
      <bottom/>
      <diagonal/>
    </border>
    <border>
      <left/>
      <right/>
      <top style="thin">
        <color indexed="10"/>
      </top>
      <bottom/>
      <diagonal/>
    </border>
    <border>
      <left style="thin">
        <color indexed="10"/>
      </left>
      <right/>
      <top style="thin">
        <color indexed="10"/>
      </top>
      <bottom/>
      <diagonal/>
    </border>
    <border>
      <left style="thin">
        <color indexed="10"/>
      </left>
      <right/>
      <top/>
      <bottom style="medium">
        <color indexed="8"/>
      </bottom>
      <diagonal/>
    </border>
    <border>
      <left style="medium">
        <color indexed="8"/>
      </left>
      <right style="medium">
        <color indexed="8"/>
      </right>
      <top/>
      <bottom style="medium">
        <color indexed="8"/>
      </bottom>
      <diagonal/>
    </border>
    <border>
      <left style="thin">
        <color indexed="10"/>
      </left>
      <right style="medium">
        <color indexed="8"/>
      </right>
      <top/>
      <bottom/>
      <diagonal/>
    </border>
    <border>
      <left style="thin">
        <color indexed="10"/>
      </left>
      <right style="thin">
        <color indexed="10"/>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10"/>
      </left>
      <right style="thin">
        <color indexed="10"/>
      </right>
      <top style="medium">
        <color indexed="8"/>
      </top>
      <bottom/>
      <diagonal/>
    </border>
    <border>
      <left style="thin">
        <color indexed="10"/>
      </left>
      <right style="medium">
        <color indexed="8"/>
      </right>
      <top style="medium">
        <color indexed="8"/>
      </top>
      <bottom/>
      <diagonal/>
    </border>
    <border>
      <left style="medium">
        <color indexed="8"/>
      </left>
      <right style="thin">
        <color indexed="10"/>
      </right>
      <top style="medium">
        <color indexed="8"/>
      </top>
      <bottom/>
      <diagonal/>
    </border>
    <border>
      <left style="medium">
        <color indexed="8"/>
      </left>
      <right style="thin">
        <color indexed="10"/>
      </right>
      <top/>
      <bottom style="medium">
        <color indexed="8"/>
      </bottom>
      <diagonal/>
    </border>
    <border>
      <left style="thin">
        <color indexed="10"/>
      </left>
      <right style="medium">
        <color indexed="8"/>
      </right>
      <top/>
      <bottom style="medium">
        <color indexed="8"/>
      </bottom>
      <diagonal/>
    </border>
    <border>
      <left style="thin">
        <color indexed="10"/>
      </left>
      <right style="thin">
        <color indexed="10"/>
      </right>
      <top/>
      <bottom style="thin">
        <color indexed="8"/>
      </bottom>
      <diagonal/>
    </border>
    <border>
      <left style="medium">
        <color indexed="8"/>
      </left>
      <right style="medium">
        <color indexed="8"/>
      </right>
      <top/>
      <bottom style="medium">
        <color indexed="64"/>
      </bottom>
      <diagonal/>
    </border>
    <border>
      <left style="thin">
        <color indexed="16"/>
      </left>
      <right/>
      <top style="thin">
        <color indexed="16"/>
      </top>
      <bottom/>
      <diagonal/>
    </border>
    <border>
      <left/>
      <right/>
      <top style="thin">
        <color indexed="16"/>
      </top>
      <bottom/>
      <diagonal/>
    </border>
    <border>
      <left/>
      <right style="medium">
        <color indexed="8"/>
      </right>
      <top style="thin">
        <color indexed="16"/>
      </top>
      <bottom/>
      <diagonal/>
    </border>
    <border>
      <left style="thin">
        <color indexed="10"/>
      </left>
      <right style="thin">
        <color indexed="10"/>
      </right>
      <top style="thin">
        <color indexed="64"/>
      </top>
      <bottom style="thin">
        <color indexed="64"/>
      </bottom>
      <diagonal/>
    </border>
    <border>
      <left/>
      <right style="thin">
        <color indexed="10"/>
      </right>
      <top/>
      <bottom style="thin">
        <color indexed="10"/>
      </bottom>
      <diagonal/>
    </border>
    <border>
      <left style="thin">
        <color indexed="10"/>
      </left>
      <right style="thin">
        <color indexed="10"/>
      </right>
      <top style="thin">
        <color indexed="64"/>
      </top>
      <bottom/>
      <diagonal/>
    </border>
    <border>
      <left style="thin">
        <color indexed="10"/>
      </left>
      <right style="thin">
        <color indexed="12"/>
      </right>
      <top/>
      <bottom/>
      <diagonal/>
    </border>
    <border>
      <left style="thick">
        <color indexed="11"/>
      </left>
      <right style="thin">
        <color indexed="10"/>
      </right>
      <top style="thin">
        <color indexed="1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10"/>
      </left>
      <right/>
      <top style="thick">
        <color indexed="8"/>
      </top>
      <bottom style="thin">
        <color indexed="8"/>
      </bottom>
      <diagonal/>
    </border>
    <border>
      <left style="thin">
        <color indexed="10"/>
      </left>
      <right/>
      <top style="thin">
        <color indexed="8"/>
      </top>
      <bottom style="thin">
        <color indexed="10"/>
      </bottom>
      <diagonal/>
    </border>
    <border>
      <left style="thin">
        <color indexed="10"/>
      </left>
      <right/>
      <top style="thin">
        <color indexed="8"/>
      </top>
      <bottom/>
      <diagonal/>
    </border>
    <border>
      <left style="thin">
        <color indexed="10"/>
      </left>
      <right/>
      <top style="thin">
        <color indexed="64"/>
      </top>
      <bottom style="thin">
        <color indexed="64"/>
      </bottom>
      <diagonal/>
    </border>
    <border>
      <left style="thin">
        <color indexed="10"/>
      </left>
      <right/>
      <top/>
      <bottom style="thin">
        <color indexed="8"/>
      </bottom>
      <diagonal/>
    </border>
    <border>
      <left style="thin">
        <color indexed="10"/>
      </left>
      <right style="thick">
        <color indexed="10"/>
      </right>
      <top style="thin">
        <color indexed="10"/>
      </top>
      <bottom/>
      <diagonal/>
    </border>
    <border>
      <left style="thin">
        <color indexed="10"/>
      </left>
      <right/>
      <top style="thin">
        <color indexed="8"/>
      </top>
      <bottom style="medium">
        <color indexed="8"/>
      </bottom>
      <diagonal/>
    </border>
    <border>
      <left/>
      <right/>
      <top style="thin">
        <color indexed="64"/>
      </top>
      <bottom/>
      <diagonal/>
    </border>
    <border>
      <left style="medium">
        <color indexed="10"/>
      </left>
      <right/>
      <top style="medium">
        <color indexed="8"/>
      </top>
      <bottom style="medium">
        <color indexed="8"/>
      </bottom>
      <diagonal/>
    </border>
    <border>
      <left/>
      <right/>
      <top style="thin">
        <color indexed="64"/>
      </top>
      <bottom style="thin">
        <color indexed="64"/>
      </bottom>
      <diagonal/>
    </border>
    <border>
      <left style="thin">
        <color indexed="10"/>
      </left>
      <right style="thin">
        <color indexed="10"/>
      </right>
      <top/>
      <bottom style="thin">
        <color indexed="64"/>
      </bottom>
      <diagonal/>
    </border>
    <border>
      <left style="medium">
        <color indexed="8"/>
      </left>
      <right/>
      <top style="medium">
        <color indexed="8"/>
      </top>
      <bottom style="thin">
        <color indexed="10"/>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12"/>
      </left>
      <right/>
      <top style="thin">
        <color indexed="8"/>
      </top>
      <bottom style="thin">
        <color indexed="12"/>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diagonal/>
    </border>
    <border>
      <left/>
      <right style="medium">
        <color indexed="64"/>
      </right>
      <top/>
      <bottom/>
      <diagonal/>
    </border>
    <border>
      <left/>
      <right style="thin">
        <color indexed="12"/>
      </right>
      <top/>
      <bottom/>
      <diagonal/>
    </border>
    <border>
      <left style="thin">
        <color indexed="11"/>
      </left>
      <right style="thin">
        <color indexed="11"/>
      </right>
      <top/>
      <bottom style="thin">
        <color indexed="11"/>
      </bottom>
      <diagonal/>
    </border>
    <border>
      <left style="thin">
        <color indexed="11"/>
      </left>
      <right style="thin">
        <color indexed="8"/>
      </right>
      <top/>
      <bottom style="thin">
        <color indexed="10"/>
      </bottom>
      <diagonal/>
    </border>
    <border>
      <left style="thin">
        <color indexed="8"/>
      </left>
      <right style="thin">
        <color indexed="8"/>
      </right>
      <top/>
      <bottom style="thin">
        <color indexed="10"/>
      </bottom>
      <diagonal/>
    </border>
    <border>
      <left/>
      <right/>
      <top style="medium">
        <color indexed="8"/>
      </top>
      <bottom/>
      <diagonal/>
    </border>
    <border>
      <left style="thin">
        <color indexed="10"/>
      </left>
      <right/>
      <top style="medium">
        <color indexed="8"/>
      </top>
      <bottom style="thin">
        <color indexed="10"/>
      </bottom>
      <diagonal/>
    </border>
    <border>
      <left style="thin">
        <color indexed="10"/>
      </left>
      <right/>
      <top style="thin">
        <color indexed="10"/>
      </top>
      <bottom style="thin">
        <color indexed="8"/>
      </bottom>
      <diagonal/>
    </border>
    <border>
      <left style="thick">
        <color indexed="8"/>
      </left>
      <right/>
      <top style="thin">
        <color indexed="8"/>
      </top>
      <bottom/>
      <diagonal/>
    </border>
    <border>
      <left style="thick">
        <color indexed="8"/>
      </left>
      <right/>
      <top/>
      <bottom style="thin">
        <color indexed="8"/>
      </bottom>
      <diagonal/>
    </border>
    <border>
      <left style="thin">
        <color indexed="10"/>
      </left>
      <right/>
      <top style="thin">
        <color indexed="8"/>
      </top>
      <bottom style="thin">
        <color indexed="8"/>
      </bottom>
      <diagonal/>
    </border>
    <border>
      <left style="thin">
        <color indexed="12"/>
      </left>
      <right/>
      <top style="thin">
        <color indexed="12"/>
      </top>
      <bottom style="thin">
        <color indexed="12"/>
      </bottom>
      <diagonal/>
    </border>
    <border>
      <left style="thin">
        <color indexed="8"/>
      </left>
      <right style="thin">
        <color indexed="12"/>
      </right>
      <top style="medium">
        <color indexed="8"/>
      </top>
      <bottom/>
      <diagonal/>
    </border>
    <border>
      <left style="thin">
        <color indexed="12"/>
      </left>
      <right style="thin">
        <color indexed="12"/>
      </right>
      <top style="medium">
        <color indexed="8"/>
      </top>
      <bottom/>
      <diagonal/>
    </border>
    <border>
      <left style="thin">
        <color indexed="10"/>
      </left>
      <right style="thin">
        <color indexed="10"/>
      </right>
      <top/>
      <bottom style="thick">
        <color indexed="8"/>
      </bottom>
      <diagonal/>
    </border>
    <border>
      <left/>
      <right/>
      <top style="medium">
        <color indexed="8"/>
      </top>
      <bottom style="thin">
        <color indexed="10"/>
      </bottom>
      <diagonal/>
    </border>
    <border>
      <left/>
      <right/>
      <top style="thin">
        <color indexed="10"/>
      </top>
      <bottom style="thin">
        <color indexed="8"/>
      </bottom>
      <diagonal/>
    </border>
    <border>
      <left/>
      <right/>
      <top style="thin">
        <color indexed="8"/>
      </top>
      <bottom style="thin">
        <color indexed="12"/>
      </bottom>
      <diagonal/>
    </border>
    <border>
      <left/>
      <right/>
      <top style="thin">
        <color indexed="12"/>
      </top>
      <bottom style="thin">
        <color indexed="12"/>
      </bottom>
      <diagonal/>
    </border>
    <border>
      <left style="medium">
        <color indexed="64"/>
      </left>
      <right style="medium">
        <color indexed="64"/>
      </right>
      <top style="thin">
        <color indexed="64"/>
      </top>
      <bottom style="medium">
        <color indexed="64"/>
      </bottom>
      <diagonal/>
    </border>
    <border>
      <left style="thin">
        <color indexed="10"/>
      </left>
      <right style="thick">
        <color indexed="11"/>
      </right>
      <top style="thin">
        <color indexed="10"/>
      </top>
      <bottom/>
      <diagonal/>
    </border>
    <border>
      <left style="thin">
        <color indexed="10"/>
      </left>
      <right style="thin">
        <color indexed="10"/>
      </right>
      <top style="thin">
        <color indexed="64"/>
      </top>
      <bottom style="medium">
        <color indexed="64"/>
      </bottom>
      <diagonal/>
    </border>
    <border>
      <left/>
      <right style="thin">
        <color indexed="8"/>
      </right>
      <top style="medium">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11"/>
      </right>
      <top style="thin">
        <color indexed="10"/>
      </top>
      <bottom/>
      <diagonal/>
    </border>
    <border>
      <left style="thin">
        <color indexed="11"/>
      </left>
      <right style="thin">
        <color indexed="10"/>
      </right>
      <top style="thin">
        <color indexed="8"/>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10"/>
      </bottom>
      <diagonal/>
    </border>
    <border>
      <left style="medium">
        <color indexed="64"/>
      </left>
      <right style="medium">
        <color indexed="64"/>
      </right>
      <top style="thin">
        <color indexed="10"/>
      </top>
      <bottom style="thin">
        <color indexed="10"/>
      </bottom>
      <diagonal/>
    </border>
    <border>
      <left style="medium">
        <color indexed="64"/>
      </left>
      <right style="medium">
        <color indexed="64"/>
      </right>
      <top style="thin">
        <color indexed="10"/>
      </top>
      <bottom style="medium">
        <color indexed="64"/>
      </bottom>
      <diagonal/>
    </border>
    <border>
      <left style="thin">
        <color indexed="17"/>
      </left>
      <right style="thin">
        <color indexed="16"/>
      </right>
      <top/>
      <bottom style="thin">
        <color indexed="16"/>
      </bottom>
      <diagonal/>
    </border>
    <border>
      <left style="thin">
        <color indexed="16"/>
      </left>
      <right style="thin">
        <color indexed="16"/>
      </right>
      <top/>
      <bottom style="thin">
        <color indexed="16"/>
      </bottom>
      <diagonal/>
    </border>
    <border>
      <left style="thin">
        <color indexed="16"/>
      </left>
      <right/>
      <top style="thin">
        <color indexed="16"/>
      </top>
      <bottom style="thin">
        <color indexed="16"/>
      </bottom>
      <diagonal/>
    </border>
    <border>
      <left style="thin">
        <color indexed="17"/>
      </left>
      <right style="thin">
        <color indexed="16"/>
      </right>
      <top style="thin">
        <color indexed="16"/>
      </top>
      <bottom/>
      <diagonal/>
    </border>
    <border>
      <left style="thin">
        <color indexed="16"/>
      </left>
      <right style="thin">
        <color indexed="16"/>
      </right>
      <top style="thin">
        <color indexed="16"/>
      </top>
      <bottom/>
      <diagonal/>
    </border>
    <border>
      <left style="medium">
        <color indexed="8"/>
      </left>
      <right style="medium">
        <color indexed="8"/>
      </right>
      <top style="thin">
        <color indexed="16"/>
      </top>
      <bottom/>
      <diagonal/>
    </border>
    <border>
      <left style="medium">
        <color indexed="8"/>
      </left>
      <right style="thin">
        <color indexed="10"/>
      </right>
      <top/>
      <bottom style="thin">
        <color indexed="8"/>
      </bottom>
      <diagonal/>
    </border>
    <border>
      <left style="medium">
        <color indexed="8"/>
      </left>
      <right style="thin">
        <color indexed="10"/>
      </right>
      <top style="thin">
        <color indexed="10"/>
      </top>
      <bottom/>
      <diagonal/>
    </border>
    <border>
      <left style="medium">
        <color indexed="64"/>
      </left>
      <right style="thin">
        <color indexed="10"/>
      </right>
      <top style="medium">
        <color indexed="64"/>
      </top>
      <bottom style="medium">
        <color indexed="64"/>
      </bottom>
      <diagonal/>
    </border>
    <border>
      <left style="thin">
        <color indexed="10"/>
      </left>
      <right style="thin">
        <color indexed="10"/>
      </right>
      <top style="medium">
        <color indexed="64"/>
      </top>
      <bottom style="medium">
        <color indexed="64"/>
      </bottom>
      <diagonal/>
    </border>
    <border>
      <left style="thin">
        <color indexed="10"/>
      </left>
      <right style="medium">
        <color indexed="8"/>
      </right>
      <top style="medium">
        <color indexed="64"/>
      </top>
      <bottom style="medium">
        <color indexed="64"/>
      </bottom>
      <diagonal/>
    </border>
    <border>
      <left style="medium">
        <color indexed="8"/>
      </left>
      <right style="thin">
        <color indexed="10"/>
      </right>
      <top style="medium">
        <color indexed="64"/>
      </top>
      <bottom style="medium">
        <color indexed="64"/>
      </bottom>
      <diagonal/>
    </border>
    <border>
      <left style="thin">
        <color indexed="10"/>
      </left>
      <right style="medium">
        <color indexed="64"/>
      </right>
      <top style="medium">
        <color indexed="64"/>
      </top>
      <bottom style="medium">
        <color indexed="64"/>
      </bottom>
      <diagonal/>
    </border>
    <border>
      <left style="medium">
        <color indexed="8"/>
      </left>
      <right style="thin">
        <color indexed="10"/>
      </right>
      <top/>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8"/>
      </left>
      <right/>
      <top style="thin">
        <color indexed="8"/>
      </top>
      <bottom/>
      <diagonal/>
    </border>
    <border>
      <left style="thin">
        <color indexed="10"/>
      </left>
      <right/>
      <top/>
      <bottom style="thin">
        <color indexed="64"/>
      </bottom>
      <diagonal/>
    </border>
    <border>
      <left style="thin">
        <color indexed="64"/>
      </left>
      <right style="medium">
        <color indexed="8"/>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10"/>
      </right>
      <top style="medium">
        <color indexed="8"/>
      </top>
      <bottom style="medium">
        <color indexed="8"/>
      </bottom>
      <diagonal/>
    </border>
    <border>
      <left/>
      <right style="thin">
        <color indexed="10"/>
      </right>
      <top/>
      <bottom/>
      <diagonal/>
    </border>
    <border>
      <left style="medium">
        <color indexed="8"/>
      </left>
      <right/>
      <top style="medium">
        <color indexed="64"/>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top style="thin">
        <color indexed="8"/>
      </top>
      <bottom style="thin">
        <color indexed="8"/>
      </bottom>
      <diagonal/>
    </border>
    <border>
      <left/>
      <right style="thin">
        <color indexed="10"/>
      </right>
      <top style="thin">
        <color indexed="10"/>
      </top>
      <bottom/>
      <diagonal/>
    </border>
    <border>
      <left style="thin">
        <color indexed="64"/>
      </left>
      <right style="medium">
        <color indexed="8"/>
      </right>
      <top/>
      <bottom/>
      <diagonal/>
    </border>
    <border>
      <left style="medium">
        <color indexed="8"/>
      </left>
      <right style="medium">
        <color indexed="8"/>
      </right>
      <top style="medium">
        <color indexed="64"/>
      </top>
      <bottom style="medium">
        <color indexed="64"/>
      </bottom>
      <diagonal/>
    </border>
    <border>
      <left style="medium">
        <color indexed="8"/>
      </left>
      <right style="medium">
        <color indexed="8"/>
      </right>
      <top/>
      <bottom style="thin">
        <color indexed="8"/>
      </bottom>
      <diagonal/>
    </border>
    <border>
      <left style="medium">
        <color indexed="8"/>
      </left>
      <right style="thin">
        <color indexed="11"/>
      </right>
      <top/>
      <bottom style="thin">
        <color indexed="10"/>
      </bottom>
      <diagonal/>
    </border>
    <border>
      <left style="thin">
        <color indexed="11"/>
      </left>
      <right style="thin">
        <color indexed="10"/>
      </right>
      <top/>
      <bottom style="thin">
        <color indexed="8"/>
      </bottom>
      <diagonal/>
    </border>
    <border>
      <left style="thin">
        <color indexed="10"/>
      </left>
      <right style="thin">
        <color indexed="11"/>
      </right>
      <top/>
      <bottom style="thin">
        <color indexed="10"/>
      </bottom>
      <diagonal/>
    </border>
    <border>
      <left style="medium">
        <color indexed="8"/>
      </left>
      <right style="hair">
        <color indexed="11"/>
      </right>
      <top/>
      <bottom style="medium">
        <color indexed="11"/>
      </bottom>
      <diagonal/>
    </border>
    <border>
      <left style="hair">
        <color indexed="11"/>
      </left>
      <right style="thin">
        <color indexed="10"/>
      </right>
      <top/>
      <bottom style="thin">
        <color indexed="10"/>
      </bottom>
      <diagonal/>
    </border>
    <border>
      <left/>
      <right style="medium">
        <color indexed="8"/>
      </right>
      <top style="medium">
        <color indexed="64"/>
      </top>
      <bottom/>
      <diagonal/>
    </border>
    <border>
      <left style="medium">
        <color indexed="64"/>
      </left>
      <right style="thin">
        <color indexed="10"/>
      </right>
      <top style="medium">
        <color indexed="64"/>
      </top>
      <bottom/>
      <diagonal/>
    </border>
    <border>
      <left style="thin">
        <color indexed="10"/>
      </left>
      <right style="medium">
        <color indexed="64"/>
      </right>
      <top style="medium">
        <color indexed="64"/>
      </top>
      <bottom/>
      <diagonal/>
    </border>
    <border>
      <left style="medium">
        <color indexed="8"/>
      </left>
      <right/>
      <top/>
      <bottom/>
      <diagonal/>
    </border>
    <border>
      <left style="medium">
        <color indexed="8"/>
      </left>
      <right/>
      <top/>
      <bottom style="medium">
        <color indexed="8"/>
      </bottom>
      <diagonal/>
    </border>
    <border>
      <left style="thin">
        <color indexed="10"/>
      </left>
      <right style="thin">
        <color indexed="10"/>
      </right>
      <top/>
      <bottom style="thick">
        <color indexed="11"/>
      </bottom>
      <diagonal/>
    </border>
    <border>
      <left style="medium">
        <color indexed="8"/>
      </left>
      <right/>
      <top/>
      <bottom style="thin">
        <color indexed="10"/>
      </bottom>
      <diagonal/>
    </border>
    <border>
      <left style="medium">
        <color indexed="8"/>
      </left>
      <right/>
      <top style="thin">
        <color indexed="10"/>
      </top>
      <bottom style="medium">
        <color indexed="8"/>
      </bottom>
      <diagonal/>
    </border>
    <border>
      <left style="thin">
        <color indexed="10"/>
      </left>
      <right style="medium">
        <color indexed="64"/>
      </right>
      <top/>
      <bottom style="thin">
        <color indexed="64"/>
      </bottom>
      <diagonal/>
    </border>
    <border>
      <left style="thin">
        <color indexed="10"/>
      </left>
      <right/>
      <top style="medium">
        <color indexed="64"/>
      </top>
      <bottom style="medium">
        <color indexed="64"/>
      </bottom>
      <diagonal/>
    </border>
    <border>
      <left style="thin">
        <color indexed="11"/>
      </left>
      <right style="thin">
        <color indexed="11"/>
      </right>
      <top/>
      <bottom style="medium">
        <color indexed="11"/>
      </bottom>
      <diagonal/>
    </border>
    <border>
      <left style="thin">
        <color indexed="11"/>
      </left>
      <right style="thin">
        <color indexed="10"/>
      </right>
      <top/>
      <bottom style="thin">
        <color indexed="10"/>
      </bottom>
      <diagonal/>
    </border>
    <border>
      <left/>
      <right/>
      <top/>
      <bottom style="thin">
        <color indexed="64"/>
      </bottom>
      <diagonal/>
    </border>
    <border>
      <left style="thin">
        <color indexed="10"/>
      </left>
      <right/>
      <top style="medium">
        <color indexed="64"/>
      </top>
      <bottom style="thin">
        <color indexed="64"/>
      </bottom>
      <diagonal/>
    </border>
    <border>
      <left style="thin">
        <color indexed="16"/>
      </left>
      <right style="medium">
        <color indexed="64"/>
      </right>
      <top style="thin">
        <color indexed="16"/>
      </top>
      <bottom/>
      <diagonal/>
    </border>
    <border>
      <left style="thin">
        <color indexed="16"/>
      </left>
      <right style="medium">
        <color indexed="64"/>
      </right>
      <top/>
      <bottom style="thin">
        <color indexed="16"/>
      </bottom>
      <diagonal/>
    </border>
    <border>
      <left style="thin">
        <color indexed="16"/>
      </left>
      <right style="medium">
        <color indexed="64"/>
      </right>
      <top/>
      <bottom/>
      <diagonal/>
    </border>
    <border>
      <left style="thin">
        <color indexed="10"/>
      </left>
      <right/>
      <top style="thick">
        <color indexed="8"/>
      </top>
      <bottom style="thick">
        <color indexed="11"/>
      </bottom>
      <diagonal/>
    </border>
    <border>
      <left style="thin">
        <color indexed="10"/>
      </left>
      <right/>
      <top style="thick">
        <color indexed="11"/>
      </top>
      <bottom style="thin">
        <color indexed="10"/>
      </bottom>
      <diagonal/>
    </border>
    <border>
      <left style="thin">
        <color indexed="10"/>
      </left>
      <right/>
      <top style="thin">
        <color indexed="10"/>
      </top>
      <bottom style="thick">
        <color indexed="11"/>
      </bottom>
      <diagonal/>
    </border>
    <border>
      <left style="thin">
        <color indexed="10"/>
      </left>
      <right/>
      <top style="thick">
        <color indexed="11"/>
      </top>
      <bottom style="thin">
        <color indexed="8"/>
      </bottom>
      <diagonal/>
    </border>
    <border>
      <left/>
      <right/>
      <top style="thick">
        <color indexed="8"/>
      </top>
      <bottom style="thin">
        <color indexed="10"/>
      </bottom>
      <diagonal/>
    </border>
    <border>
      <left/>
      <right/>
      <top style="thin">
        <color indexed="8"/>
      </top>
      <bottom style="thin">
        <color indexed="10"/>
      </bottom>
      <diagonal/>
    </border>
    <border>
      <left style="thick">
        <color indexed="8"/>
      </left>
      <right style="thick">
        <color indexed="8"/>
      </right>
      <top style="thick">
        <color indexed="8"/>
      </top>
      <bottom/>
      <diagonal/>
    </border>
    <border>
      <left style="thick">
        <color indexed="11"/>
      </left>
      <right style="thin">
        <color indexed="10"/>
      </right>
      <top/>
      <bottom style="thin">
        <color indexed="10"/>
      </bottom>
      <diagonal/>
    </border>
    <border>
      <left style="medium">
        <color indexed="64"/>
      </left>
      <right/>
      <top style="medium">
        <color indexed="64"/>
      </top>
      <bottom style="thin">
        <color indexed="10"/>
      </bottom>
      <diagonal/>
    </border>
    <border>
      <left/>
      <right/>
      <top style="medium">
        <color indexed="64"/>
      </top>
      <bottom style="thin">
        <color indexed="10"/>
      </bottom>
      <diagonal/>
    </border>
    <border>
      <left style="medium">
        <color indexed="64"/>
      </left>
      <right style="thin">
        <color indexed="10"/>
      </right>
      <top style="thin">
        <color indexed="10"/>
      </top>
      <bottom style="thin">
        <color indexed="10"/>
      </bottom>
      <diagonal/>
    </border>
    <border>
      <left style="thin">
        <color indexed="10"/>
      </left>
      <right style="medium">
        <color indexed="64"/>
      </right>
      <top/>
      <bottom style="thin">
        <color indexed="10"/>
      </bottom>
      <diagonal/>
    </border>
    <border>
      <left style="thin">
        <color indexed="10"/>
      </left>
      <right style="medium">
        <color indexed="64"/>
      </right>
      <top style="thin">
        <color indexed="10"/>
      </top>
      <bottom style="thin">
        <color indexed="10"/>
      </bottom>
      <diagonal/>
    </border>
    <border>
      <left style="medium">
        <color indexed="64"/>
      </left>
      <right style="thin">
        <color indexed="10"/>
      </right>
      <top style="thin">
        <color indexed="10"/>
      </top>
      <bottom style="medium">
        <color indexed="64"/>
      </bottom>
      <diagonal/>
    </border>
    <border>
      <left style="thin">
        <color indexed="10"/>
      </left>
      <right style="thin">
        <color indexed="10"/>
      </right>
      <top style="thin">
        <color indexed="10"/>
      </top>
      <bottom style="medium">
        <color indexed="64"/>
      </bottom>
      <diagonal/>
    </border>
    <border>
      <left style="thin">
        <color indexed="10"/>
      </left>
      <right style="medium">
        <color indexed="64"/>
      </right>
      <top style="thin">
        <color indexed="1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10"/>
      </right>
      <top/>
      <bottom style="thin">
        <color indexed="10"/>
      </bottom>
      <diagonal/>
    </border>
    <border>
      <left/>
      <right style="thin">
        <color indexed="10"/>
      </right>
      <top style="thin">
        <color indexed="10"/>
      </top>
      <bottom style="medium">
        <color indexed="64"/>
      </bottom>
      <diagonal/>
    </border>
    <border>
      <left/>
      <right style="medium">
        <color indexed="64"/>
      </right>
      <top style="thin">
        <color indexed="10"/>
      </top>
      <bottom style="medium">
        <color indexed="64"/>
      </bottom>
      <diagonal/>
    </border>
    <border>
      <left/>
      <right style="thin">
        <color indexed="8"/>
      </right>
      <top style="thin">
        <color indexed="8"/>
      </top>
      <bottom/>
      <diagonal/>
    </border>
    <border>
      <left style="thin">
        <color indexed="10"/>
      </left>
      <right/>
      <top style="thin">
        <color indexed="64"/>
      </top>
      <bottom style="medium">
        <color indexed="64"/>
      </bottom>
      <diagonal/>
    </border>
    <border>
      <left/>
      <right style="thin">
        <color indexed="10"/>
      </right>
      <top style="thin">
        <color indexed="64"/>
      </top>
      <bottom style="medium">
        <color indexed="64"/>
      </bottom>
      <diagonal/>
    </border>
    <border>
      <left/>
      <right style="thin">
        <color indexed="12"/>
      </right>
      <top style="thin">
        <color indexed="10"/>
      </top>
      <bottom style="thin">
        <color indexed="10"/>
      </bottom>
      <diagonal/>
    </border>
    <border>
      <left style="medium">
        <color indexed="64"/>
      </left>
      <right style="medium">
        <color indexed="64"/>
      </right>
      <top style="thin">
        <color indexed="10"/>
      </top>
      <bottom/>
      <diagonal/>
    </border>
    <border>
      <left style="medium">
        <color indexed="64"/>
      </left>
      <right style="medium">
        <color indexed="64"/>
      </right>
      <top/>
      <bottom style="thin">
        <color indexed="10"/>
      </bottom>
      <diagonal/>
    </border>
    <border>
      <left style="thin">
        <color indexed="10"/>
      </left>
      <right/>
      <top style="thick">
        <color indexed="8"/>
      </top>
      <bottom style="thin">
        <color indexed="10"/>
      </bottom>
      <diagonal/>
    </border>
    <border>
      <left/>
      <right style="thin">
        <color indexed="10"/>
      </right>
      <top style="medium">
        <color indexed="64"/>
      </top>
      <bottom style="medium">
        <color indexed="64"/>
      </bottom>
      <diagonal/>
    </border>
    <border>
      <left style="medium">
        <color indexed="8"/>
      </left>
      <right style="medium">
        <color indexed="8"/>
      </right>
      <top style="medium">
        <color indexed="64"/>
      </top>
      <bottom/>
      <diagonal/>
    </border>
    <border>
      <left/>
      <right/>
      <top/>
      <bottom style="medium">
        <color indexed="8"/>
      </bottom>
      <diagonal/>
    </border>
    <border>
      <left style="thin">
        <color indexed="12"/>
      </left>
      <right style="thin">
        <color indexed="12"/>
      </right>
      <top/>
      <bottom/>
      <diagonal/>
    </border>
    <border>
      <left style="thin">
        <color indexed="12"/>
      </left>
      <right style="thin">
        <color indexed="10"/>
      </right>
      <top/>
      <bottom/>
      <diagonal/>
    </border>
  </borders>
  <cellStyleXfs count="4">
    <xf numFmtId="0" fontId="0" fillId="0" borderId="0" applyNumberFormat="0" applyFill="0" applyBorder="0" applyProtection="0"/>
    <xf numFmtId="9" fontId="15" fillId="0" borderId="0" applyFont="0" applyFill="0" applyBorder="0" applyAlignment="0" applyProtection="0"/>
    <xf numFmtId="44" fontId="16" fillId="0" borderId="0" applyFont="0" applyFill="0" applyBorder="0" applyAlignment="0" applyProtection="0"/>
    <xf numFmtId="43" fontId="25" fillId="0" borderId="0" applyFont="0" applyFill="0" applyBorder="0" applyAlignment="0" applyProtection="0"/>
  </cellStyleXfs>
  <cellXfs count="1337">
    <xf numFmtId="0" fontId="0" fillId="0" borderId="0" xfId="0"/>
    <xf numFmtId="0" fontId="0" fillId="0" borderId="0" xfId="0" applyNumberFormat="1"/>
    <xf numFmtId="0" fontId="0" fillId="2" borderId="2" xfId="0" applyFill="1" applyBorder="1"/>
    <xf numFmtId="0" fontId="0" fillId="2" borderId="4" xfId="0" applyFill="1" applyBorder="1"/>
    <xf numFmtId="0" fontId="0" fillId="2" borderId="6" xfId="0" applyFill="1" applyBorder="1"/>
    <xf numFmtId="0" fontId="2" fillId="2" borderId="7" xfId="0" applyFont="1" applyFill="1" applyBorder="1" applyAlignment="1">
      <alignment horizontal="center" vertical="center" wrapText="1"/>
    </xf>
    <xf numFmtId="0" fontId="0" fillId="2" borderId="10" xfId="0" applyFill="1" applyBorder="1"/>
    <xf numFmtId="0" fontId="0" fillId="2" borderId="12" xfId="0" applyFill="1" applyBorder="1"/>
    <xf numFmtId="0" fontId="0" fillId="2" borderId="14" xfId="0" applyFill="1" applyBorder="1"/>
    <xf numFmtId="0" fontId="0" fillId="2" borderId="18" xfId="0" applyFill="1" applyBorder="1"/>
    <xf numFmtId="0" fontId="0" fillId="2" borderId="20" xfId="0" applyFill="1" applyBorder="1"/>
    <xf numFmtId="0" fontId="0" fillId="2" borderId="21" xfId="0" applyFill="1" applyBorder="1"/>
    <xf numFmtId="49" fontId="3" fillId="2" borderId="2" xfId="0" applyNumberFormat="1" applyFont="1" applyFill="1" applyBorder="1" applyAlignment="1">
      <alignment wrapText="1"/>
    </xf>
    <xf numFmtId="0" fontId="3" fillId="2" borderId="23" xfId="0" applyNumberFormat="1" applyFont="1" applyFill="1" applyBorder="1" applyAlignment="1">
      <alignment horizontal="center"/>
    </xf>
    <xf numFmtId="0" fontId="3" fillId="2" borderId="23" xfId="0" applyFont="1" applyFill="1" applyBorder="1" applyAlignment="1">
      <alignment horizontal="center"/>
    </xf>
    <xf numFmtId="0" fontId="3" fillId="2" borderId="2" xfId="0" applyFont="1" applyFill="1" applyBorder="1" applyAlignment="1">
      <alignment horizontal="center"/>
    </xf>
    <xf numFmtId="0" fontId="3" fillId="2" borderId="24" xfId="0" applyNumberFormat="1" applyFont="1" applyFill="1" applyBorder="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center"/>
    </xf>
    <xf numFmtId="49" fontId="5" fillId="2" borderId="10" xfId="0" applyNumberFormat="1" applyFont="1" applyFill="1" applyBorder="1" applyAlignment="1">
      <alignment wrapText="1"/>
    </xf>
    <xf numFmtId="164" fontId="0" fillId="2" borderId="27" xfId="0" applyNumberFormat="1" applyFill="1" applyBorder="1"/>
    <xf numFmtId="164" fontId="0" fillId="2" borderId="10" xfId="0" applyNumberFormat="1" applyFill="1" applyBorder="1"/>
    <xf numFmtId="165" fontId="0" fillId="2" borderId="28" xfId="0" applyNumberFormat="1" applyFill="1" applyBorder="1"/>
    <xf numFmtId="9" fontId="0" fillId="2" borderId="29" xfId="0" applyNumberFormat="1" applyFill="1" applyBorder="1"/>
    <xf numFmtId="9" fontId="0" fillId="2" borderId="30" xfId="0" applyNumberFormat="1" applyFill="1" applyBorder="1"/>
    <xf numFmtId="9" fontId="0" fillId="2" borderId="31" xfId="0" applyNumberFormat="1" applyFill="1" applyBorder="1"/>
    <xf numFmtId="9" fontId="0" fillId="2" borderId="27" xfId="0" applyNumberFormat="1" applyFill="1" applyBorder="1"/>
    <xf numFmtId="49" fontId="0" fillId="2" borderId="10" xfId="0" applyNumberFormat="1" applyFill="1" applyBorder="1" applyAlignment="1">
      <alignment wrapText="1"/>
    </xf>
    <xf numFmtId="165" fontId="0" fillId="2" borderId="32" xfId="0" applyNumberFormat="1" applyFill="1" applyBorder="1"/>
    <xf numFmtId="9" fontId="0" fillId="2" borderId="34" xfId="0" applyNumberFormat="1" applyFill="1" applyBorder="1"/>
    <xf numFmtId="9" fontId="0" fillId="2" borderId="10" xfId="0" applyNumberFormat="1" applyFill="1" applyBorder="1"/>
    <xf numFmtId="165" fontId="0" fillId="2" borderId="10" xfId="0" applyNumberFormat="1" applyFill="1" applyBorder="1"/>
    <xf numFmtId="9" fontId="0" fillId="2" borderId="35" xfId="0" applyNumberFormat="1" applyFill="1" applyBorder="1"/>
    <xf numFmtId="9" fontId="0" fillId="2" borderId="36" xfId="0" applyNumberFormat="1" applyFill="1" applyBorder="1"/>
    <xf numFmtId="9" fontId="0" fillId="2" borderId="37" xfId="0" applyNumberFormat="1" applyFill="1" applyBorder="1"/>
    <xf numFmtId="49" fontId="0" fillId="2" borderId="39" xfId="0" applyNumberFormat="1" applyFill="1" applyBorder="1" applyAlignment="1">
      <alignment wrapText="1"/>
    </xf>
    <xf numFmtId="164" fontId="0" fillId="2" borderId="39" xfId="0" applyNumberFormat="1" applyFill="1" applyBorder="1"/>
    <xf numFmtId="164" fontId="0" fillId="2" borderId="40" xfId="0" applyNumberFormat="1" applyFill="1" applyBorder="1"/>
    <xf numFmtId="165" fontId="0" fillId="2" borderId="41" xfId="0" applyNumberFormat="1" applyFill="1" applyBorder="1"/>
    <xf numFmtId="9" fontId="0" fillId="2" borderId="43" xfId="0" applyNumberFormat="1" applyFill="1" applyBorder="1"/>
    <xf numFmtId="9" fontId="0" fillId="2" borderId="39" xfId="0" applyNumberFormat="1" applyFill="1" applyBorder="1"/>
    <xf numFmtId="49" fontId="3" fillId="2" borderId="44" xfId="0" applyNumberFormat="1" applyFont="1" applyFill="1" applyBorder="1" applyAlignment="1">
      <alignment horizontal="left" wrapText="1"/>
    </xf>
    <xf numFmtId="165" fontId="3" fillId="2" borderId="49" xfId="0" applyNumberFormat="1" applyFont="1" applyFill="1" applyBorder="1"/>
    <xf numFmtId="9" fontId="3" fillId="2" borderId="52" xfId="0" applyNumberFormat="1" applyFont="1" applyFill="1" applyBorder="1"/>
    <xf numFmtId="49" fontId="5" fillId="2" borderId="55" xfId="0" applyNumberFormat="1" applyFont="1" applyFill="1" applyBorder="1" applyAlignment="1">
      <alignment wrapText="1"/>
    </xf>
    <xf numFmtId="164" fontId="0" fillId="2" borderId="55" xfId="0" applyNumberFormat="1" applyFill="1" applyBorder="1"/>
    <xf numFmtId="164" fontId="0" fillId="2" borderId="56" xfId="0" applyNumberFormat="1" applyFill="1" applyBorder="1"/>
    <xf numFmtId="165" fontId="0" fillId="2" borderId="55" xfId="0" applyNumberFormat="1" applyFill="1" applyBorder="1"/>
    <xf numFmtId="9" fontId="0" fillId="2" borderId="57" xfId="0" applyNumberFormat="1" applyFill="1" applyBorder="1"/>
    <xf numFmtId="9" fontId="0" fillId="2" borderId="58" xfId="0" applyNumberFormat="1" applyFill="1" applyBorder="1"/>
    <xf numFmtId="9" fontId="0" fillId="2" borderId="59" xfId="0" applyNumberFormat="1" applyFill="1" applyBorder="1"/>
    <xf numFmtId="9" fontId="0" fillId="2" borderId="60" xfId="0" applyNumberFormat="1" applyFill="1" applyBorder="1"/>
    <xf numFmtId="9" fontId="0" fillId="2" borderId="61" xfId="0" applyNumberFormat="1" applyFill="1" applyBorder="1"/>
    <xf numFmtId="9" fontId="0" fillId="2" borderId="62" xfId="0" applyNumberFormat="1" applyFill="1" applyBorder="1"/>
    <xf numFmtId="9" fontId="0" fillId="2" borderId="55" xfId="0" applyNumberFormat="1" applyFill="1" applyBorder="1"/>
    <xf numFmtId="49" fontId="0" fillId="2" borderId="10" xfId="0" applyNumberFormat="1" applyFill="1" applyBorder="1" applyAlignment="1">
      <alignment horizontal="left" wrapText="1"/>
    </xf>
    <xf numFmtId="164" fontId="0" fillId="2" borderId="63" xfId="0" applyNumberFormat="1" applyFill="1" applyBorder="1"/>
    <xf numFmtId="165" fontId="0" fillId="2" borderId="64" xfId="0" applyNumberFormat="1" applyFill="1" applyBorder="1"/>
    <xf numFmtId="9" fontId="0" fillId="2" borderId="66" xfId="0" applyNumberFormat="1" applyFill="1" applyBorder="1"/>
    <xf numFmtId="9" fontId="0" fillId="2" borderId="63" xfId="0" applyNumberFormat="1" applyFill="1" applyBorder="1"/>
    <xf numFmtId="49" fontId="0" fillId="2" borderId="39" xfId="0" applyNumberFormat="1" applyFill="1" applyBorder="1" applyAlignment="1">
      <alignment horizontal="left" wrapText="1"/>
    </xf>
    <xf numFmtId="164" fontId="0" fillId="2" borderId="67" xfId="0" applyNumberFormat="1" applyFill="1" applyBorder="1"/>
    <xf numFmtId="165" fontId="0" fillId="2" borderId="68" xfId="0" applyNumberFormat="1" applyFill="1" applyBorder="1"/>
    <xf numFmtId="9" fontId="0" fillId="2" borderId="71" xfId="0" applyNumberFormat="1" applyFill="1" applyBorder="1"/>
    <xf numFmtId="9" fontId="0" fillId="2" borderId="67" xfId="0" applyNumberFormat="1" applyFill="1" applyBorder="1"/>
    <xf numFmtId="164" fontId="3" fillId="2" borderId="74" xfId="0" applyNumberFormat="1" applyFont="1" applyFill="1" applyBorder="1"/>
    <xf numFmtId="9" fontId="3" fillId="2" borderId="76" xfId="0" applyNumberFormat="1" applyFont="1" applyFill="1" applyBorder="1"/>
    <xf numFmtId="164" fontId="0" fillId="2" borderId="77" xfId="0" applyNumberFormat="1" applyFill="1" applyBorder="1"/>
    <xf numFmtId="164" fontId="0" fillId="2" borderId="78" xfId="0" applyNumberFormat="1" applyFill="1" applyBorder="1"/>
    <xf numFmtId="165" fontId="0" fillId="2" borderId="79" xfId="0" applyNumberFormat="1" applyFill="1" applyBorder="1"/>
    <xf numFmtId="9" fontId="0" fillId="2" borderId="80" xfId="0" applyNumberFormat="1" applyFill="1" applyBorder="1"/>
    <xf numFmtId="9" fontId="0" fillId="2" borderId="81" xfId="0" applyNumberFormat="1" applyFill="1" applyBorder="1"/>
    <xf numFmtId="9" fontId="0" fillId="2" borderId="82" xfId="0" applyNumberFormat="1" applyFill="1" applyBorder="1"/>
    <xf numFmtId="9" fontId="0" fillId="2" borderId="79" xfId="0" applyNumberFormat="1" applyFill="1" applyBorder="1"/>
    <xf numFmtId="165" fontId="0" fillId="2" borderId="27" xfId="0" applyNumberFormat="1" applyFill="1" applyBorder="1"/>
    <xf numFmtId="9" fontId="0" fillId="2" borderId="83" xfId="0" applyNumberFormat="1" applyFill="1" applyBorder="1"/>
    <xf numFmtId="49" fontId="3" fillId="2" borderId="45" xfId="0" applyNumberFormat="1" applyFont="1" applyFill="1" applyBorder="1" applyAlignment="1">
      <alignment wrapText="1"/>
    </xf>
    <xf numFmtId="164" fontId="3" fillId="2" borderId="54" xfId="0" applyNumberFormat="1" applyFont="1" applyFill="1" applyBorder="1"/>
    <xf numFmtId="49" fontId="0" fillId="2" borderId="55" xfId="0" applyNumberFormat="1" applyFill="1" applyBorder="1" applyAlignment="1">
      <alignment wrapText="1"/>
    </xf>
    <xf numFmtId="165" fontId="0" fillId="2" borderId="57" xfId="0" applyNumberFormat="1" applyFill="1" applyBorder="1"/>
    <xf numFmtId="9" fontId="0" fillId="2" borderId="84" xfId="0" applyNumberFormat="1" applyFill="1" applyBorder="1"/>
    <xf numFmtId="49" fontId="0" fillId="2" borderId="10" xfId="0" applyNumberFormat="1" applyFill="1" applyBorder="1" applyAlignment="1">
      <alignment vertical="center" wrapText="1"/>
    </xf>
    <xf numFmtId="49" fontId="5" fillId="2" borderId="10" xfId="0" applyNumberFormat="1" applyFont="1" applyFill="1" applyBorder="1" applyAlignment="1">
      <alignment vertical="center" wrapText="1"/>
    </xf>
    <xf numFmtId="165" fontId="0" fillId="2" borderId="86" xfId="0" applyNumberFormat="1" applyFill="1" applyBorder="1"/>
    <xf numFmtId="49" fontId="3" fillId="2" borderId="10" xfId="0" applyNumberFormat="1" applyFont="1" applyFill="1" applyBorder="1" applyAlignment="1">
      <alignment wrapText="1"/>
    </xf>
    <xf numFmtId="164" fontId="0" fillId="2" borderId="25" xfId="0" applyNumberFormat="1" applyFill="1" applyBorder="1"/>
    <xf numFmtId="165" fontId="0" fillId="2" borderId="89" xfId="0" applyNumberFormat="1" applyFill="1" applyBorder="1"/>
    <xf numFmtId="9" fontId="0" fillId="2" borderId="92" xfId="0" applyNumberFormat="1" applyFill="1" applyBorder="1"/>
    <xf numFmtId="9" fontId="0" fillId="2" borderId="25" xfId="0" applyNumberFormat="1" applyFill="1" applyBorder="1"/>
    <xf numFmtId="49" fontId="3" fillId="2" borderId="39" xfId="0" applyNumberFormat="1" applyFont="1" applyFill="1" applyBorder="1" applyAlignment="1">
      <alignment wrapText="1"/>
    </xf>
    <xf numFmtId="164" fontId="3" fillId="2" borderId="67" xfId="0" applyNumberFormat="1" applyFont="1" applyFill="1" applyBorder="1"/>
    <xf numFmtId="164" fontId="3" fillId="2" borderId="39" xfId="0" applyNumberFormat="1" applyFont="1" applyFill="1" applyBorder="1"/>
    <xf numFmtId="165" fontId="3" fillId="2" borderId="68" xfId="0" applyNumberFormat="1" applyFont="1" applyFill="1" applyBorder="1"/>
    <xf numFmtId="9" fontId="3" fillId="2" borderId="71" xfId="0" applyNumberFormat="1" applyFont="1" applyFill="1" applyBorder="1"/>
    <xf numFmtId="49" fontId="4" fillId="2" borderId="55" xfId="0" applyNumberFormat="1" applyFont="1" applyFill="1" applyBorder="1" applyAlignment="1">
      <alignment wrapText="1"/>
    </xf>
    <xf numFmtId="0" fontId="0" fillId="2" borderId="18" xfId="0" applyFill="1" applyBorder="1" applyAlignment="1">
      <alignment wrapText="1"/>
    </xf>
    <xf numFmtId="165" fontId="0" fillId="2" borderId="18" xfId="0" applyNumberFormat="1" applyFill="1" applyBorder="1"/>
    <xf numFmtId="0" fontId="0" fillId="0" borderId="103" xfId="0" applyBorder="1"/>
    <xf numFmtId="0" fontId="0" fillId="2" borderId="106" xfId="0" applyFill="1" applyBorder="1"/>
    <xf numFmtId="0" fontId="0" fillId="0" borderId="106" xfId="0" applyBorder="1"/>
    <xf numFmtId="0" fontId="0" fillId="0" borderId="109" xfId="0" applyBorder="1"/>
    <xf numFmtId="0" fontId="3" fillId="2" borderId="24" xfId="0" applyFont="1" applyFill="1" applyBorder="1" applyAlignment="1">
      <alignment horizontal="center"/>
    </xf>
    <xf numFmtId="0" fontId="0" fillId="2" borderId="110" xfId="0" applyFill="1" applyBorder="1"/>
    <xf numFmtId="0" fontId="0" fillId="2" borderId="39" xfId="0" applyFill="1" applyBorder="1"/>
    <xf numFmtId="0" fontId="0" fillId="2" borderId="111" xfId="0" applyFill="1" applyBorder="1"/>
    <xf numFmtId="49" fontId="0" fillId="0" borderId="36" xfId="0" applyNumberFormat="1" applyBorder="1" applyAlignment="1">
      <alignment wrapText="1"/>
    </xf>
    <xf numFmtId="164" fontId="0" fillId="0" borderId="112" xfId="0" applyNumberFormat="1" applyBorder="1"/>
    <xf numFmtId="164" fontId="0" fillId="0" borderId="36" xfId="0" applyNumberFormat="1" applyBorder="1"/>
    <xf numFmtId="164" fontId="0" fillId="2" borderId="36" xfId="0" applyNumberFormat="1" applyFill="1" applyBorder="1"/>
    <xf numFmtId="0" fontId="0" fillId="0" borderId="36" xfId="0" applyBorder="1" applyAlignment="1">
      <alignment wrapText="1"/>
    </xf>
    <xf numFmtId="49" fontId="3" fillId="0" borderId="36" xfId="0" applyNumberFormat="1" applyFont="1" applyBorder="1" applyAlignment="1">
      <alignment wrapText="1"/>
    </xf>
    <xf numFmtId="164" fontId="3" fillId="0" borderId="36" xfId="0" applyNumberFormat="1" applyFont="1" applyBorder="1"/>
    <xf numFmtId="165" fontId="0" fillId="2" borderId="113" xfId="0" applyNumberFormat="1" applyFill="1" applyBorder="1"/>
    <xf numFmtId="0" fontId="0" fillId="2" borderId="113" xfId="0" applyFill="1" applyBorder="1"/>
    <xf numFmtId="0" fontId="0" fillId="2" borderId="114" xfId="0" applyFill="1" applyBorder="1"/>
    <xf numFmtId="0" fontId="3" fillId="2" borderId="1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3" xfId="0" applyFont="1" applyFill="1" applyBorder="1" applyAlignment="1">
      <alignment horizontal="center"/>
    </xf>
    <xf numFmtId="9" fontId="0" fillId="2" borderId="112" xfId="0" applyNumberFormat="1" applyFill="1" applyBorder="1"/>
    <xf numFmtId="165" fontId="0" fillId="2" borderId="66" xfId="0" applyNumberFormat="1" applyFill="1" applyBorder="1"/>
    <xf numFmtId="165" fontId="0" fillId="2" borderId="63" xfId="0" applyNumberFormat="1" applyFill="1" applyBorder="1"/>
    <xf numFmtId="164" fontId="3" fillId="2" borderId="25" xfId="0" applyNumberFormat="1" applyFont="1" applyFill="1" applyBorder="1"/>
    <xf numFmtId="164" fontId="3" fillId="2" borderId="63" xfId="0" applyNumberFormat="1" applyFont="1" applyFill="1" applyBorder="1"/>
    <xf numFmtId="165" fontId="3" fillId="2" borderId="119" xfId="0" applyNumberFormat="1" applyFont="1" applyFill="1" applyBorder="1"/>
    <xf numFmtId="165" fontId="3" fillId="2" borderId="25" xfId="0" applyNumberFormat="1" applyFont="1" applyFill="1" applyBorder="1"/>
    <xf numFmtId="49" fontId="6" fillId="2" borderId="10" xfId="0" applyNumberFormat="1" applyFont="1" applyFill="1" applyBorder="1" applyAlignment="1">
      <alignment wrapText="1"/>
    </xf>
    <xf numFmtId="164" fontId="0" fillId="2" borderId="124" xfId="0" applyNumberFormat="1" applyFill="1" applyBorder="1"/>
    <xf numFmtId="165" fontId="0" fillId="2" borderId="125" xfId="0" applyNumberFormat="1" applyFill="1" applyBorder="1"/>
    <xf numFmtId="9" fontId="0" fillId="2" borderId="127" xfId="0" applyNumberFormat="1" applyFill="1" applyBorder="1"/>
    <xf numFmtId="165" fontId="0" fillId="2" borderId="128" xfId="0" applyNumberFormat="1" applyFill="1" applyBorder="1"/>
    <xf numFmtId="9" fontId="0" fillId="2" borderId="7" xfId="0" applyNumberFormat="1" applyFill="1" applyBorder="1"/>
    <xf numFmtId="9" fontId="0" fillId="2" borderId="129" xfId="0" applyNumberFormat="1" applyFill="1" applyBorder="1"/>
    <xf numFmtId="165" fontId="0" fillId="2" borderId="25" xfId="0" applyNumberFormat="1" applyFill="1" applyBorder="1"/>
    <xf numFmtId="9" fontId="3" fillId="2" borderId="89" xfId="0" applyNumberFormat="1" applyFont="1" applyFill="1" applyBorder="1"/>
    <xf numFmtId="9" fontId="0" fillId="2" borderId="130" xfId="0" applyNumberFormat="1" applyFill="1" applyBorder="1"/>
    <xf numFmtId="165" fontId="0" fillId="2" borderId="130" xfId="0" applyNumberFormat="1" applyFill="1" applyBorder="1"/>
    <xf numFmtId="164" fontId="3" fillId="2" borderId="27" xfId="0" applyNumberFormat="1" applyFont="1" applyFill="1" applyBorder="1"/>
    <xf numFmtId="164" fontId="3" fillId="2" borderId="10" xfId="0" applyNumberFormat="1" applyFont="1" applyFill="1" applyBorder="1"/>
    <xf numFmtId="165" fontId="3" fillId="2" borderId="28" xfId="0" applyNumberFormat="1" applyFont="1" applyFill="1" applyBorder="1"/>
    <xf numFmtId="165" fontId="3" fillId="2" borderId="27" xfId="0" applyNumberFormat="1" applyFont="1" applyFill="1" applyBorder="1"/>
    <xf numFmtId="164" fontId="0" fillId="2" borderId="18" xfId="0" applyNumberFormat="1" applyFill="1" applyBorder="1"/>
    <xf numFmtId="9" fontId="0" fillId="2" borderId="18" xfId="0" applyNumberFormat="1" applyFill="1" applyBorder="1"/>
    <xf numFmtId="49" fontId="8" fillId="2" borderId="2" xfId="0" applyNumberFormat="1" applyFont="1" applyFill="1" applyBorder="1"/>
    <xf numFmtId="165" fontId="0" fillId="2" borderId="2" xfId="0" applyNumberFormat="1" applyFill="1" applyBorder="1"/>
    <xf numFmtId="0" fontId="0" fillId="2" borderId="137" xfId="0" applyFill="1" applyBorder="1"/>
    <xf numFmtId="0" fontId="0" fillId="2" borderId="78" xfId="0" applyFill="1" applyBorder="1"/>
    <xf numFmtId="0" fontId="0" fillId="2" borderId="139" xfId="0" applyFill="1" applyBorder="1"/>
    <xf numFmtId="0" fontId="0" fillId="2" borderId="140" xfId="0" applyFill="1" applyBorder="1"/>
    <xf numFmtId="0" fontId="0" fillId="2" borderId="142" xfId="0" applyFill="1" applyBorder="1"/>
    <xf numFmtId="0" fontId="0" fillId="2" borderId="27" xfId="0" applyFill="1" applyBorder="1"/>
    <xf numFmtId="49" fontId="0" fillId="2" borderId="10" xfId="0" applyNumberFormat="1" applyFill="1" applyBorder="1" applyAlignment="1">
      <alignment vertical="center"/>
    </xf>
    <xf numFmtId="0" fontId="0" fillId="2" borderId="10" xfId="0" applyNumberFormat="1" applyFill="1" applyBorder="1"/>
    <xf numFmtId="49" fontId="0" fillId="2" borderId="10" xfId="0" applyNumberFormat="1" applyFill="1" applyBorder="1" applyAlignment="1">
      <alignment horizontal="left" vertical="center"/>
    </xf>
    <xf numFmtId="0" fontId="3" fillId="2" borderId="10" xfId="0" applyFont="1" applyFill="1" applyBorder="1"/>
    <xf numFmtId="49" fontId="9" fillId="2" borderId="10" xfId="0" applyNumberFormat="1" applyFont="1" applyFill="1" applyBorder="1" applyAlignment="1">
      <alignment vertical="center"/>
    </xf>
    <xf numFmtId="164" fontId="0" fillId="2" borderId="146" xfId="0" applyNumberFormat="1" applyFill="1" applyBorder="1"/>
    <xf numFmtId="164" fontId="0" fillId="2" borderId="34" xfId="0" applyNumberFormat="1" applyFill="1" applyBorder="1"/>
    <xf numFmtId="164" fontId="0" fillId="2" borderId="114" xfId="0" applyNumberFormat="1" applyFill="1" applyBorder="1"/>
    <xf numFmtId="0" fontId="3" fillId="2" borderId="139" xfId="0" applyFont="1" applyFill="1" applyBorder="1"/>
    <xf numFmtId="49" fontId="3" fillId="2" borderId="10" xfId="0" applyNumberFormat="1" applyFont="1" applyFill="1" applyBorder="1" applyAlignment="1">
      <alignment vertical="center" wrapText="1"/>
    </xf>
    <xf numFmtId="164" fontId="3" fillId="2" borderId="25" xfId="0" applyNumberFormat="1" applyFont="1" applyFill="1" applyBorder="1" applyAlignment="1">
      <alignment wrapText="1"/>
    </xf>
    <xf numFmtId="164" fontId="3" fillId="2" borderId="10" xfId="0" applyNumberFormat="1" applyFont="1" applyFill="1" applyBorder="1" applyAlignment="1">
      <alignment wrapText="1"/>
    </xf>
    <xf numFmtId="165" fontId="3" fillId="2" borderId="10" xfId="0" applyNumberFormat="1" applyFont="1" applyFill="1" applyBorder="1" applyAlignment="1">
      <alignment wrapText="1"/>
    </xf>
    <xf numFmtId="0" fontId="0" fillId="2" borderId="10" xfId="0" applyFill="1" applyBorder="1" applyAlignment="1">
      <alignment wrapText="1"/>
    </xf>
    <xf numFmtId="0" fontId="3" fillId="2" borderId="67" xfId="0" applyFont="1" applyFill="1" applyBorder="1" applyAlignment="1">
      <alignment horizontal="center"/>
    </xf>
    <xf numFmtId="0" fontId="3" fillId="2" borderId="39" xfId="0" applyFont="1" applyFill="1" applyBorder="1" applyAlignment="1">
      <alignment horizontal="center"/>
    </xf>
    <xf numFmtId="0" fontId="3" fillId="2" borderId="44" xfId="0" applyNumberFormat="1" applyFont="1" applyFill="1" applyBorder="1" applyAlignment="1">
      <alignment horizontal="center"/>
    </xf>
    <xf numFmtId="0" fontId="3" fillId="2" borderId="44" xfId="0" applyFont="1" applyFill="1" applyBorder="1" applyAlignment="1">
      <alignment horizontal="center"/>
    </xf>
    <xf numFmtId="167" fontId="0" fillId="0" borderId="147" xfId="0" applyNumberFormat="1" applyBorder="1"/>
    <xf numFmtId="167" fontId="0" fillId="2" borderId="122" xfId="0" applyNumberFormat="1" applyFill="1" applyBorder="1"/>
    <xf numFmtId="167" fontId="0" fillId="0" borderId="148" xfId="0" applyNumberFormat="1" applyBorder="1"/>
    <xf numFmtId="169" fontId="0" fillId="2" borderId="122" xfId="0" applyNumberFormat="1" applyFill="1" applyBorder="1"/>
    <xf numFmtId="169" fontId="0" fillId="2" borderId="149" xfId="0" applyNumberFormat="1" applyFill="1" applyBorder="1"/>
    <xf numFmtId="168" fontId="0" fillId="2" borderId="122" xfId="0" applyNumberFormat="1" applyFill="1" applyBorder="1"/>
    <xf numFmtId="0" fontId="0" fillId="2" borderId="149" xfId="0" applyFill="1" applyBorder="1"/>
    <xf numFmtId="168" fontId="0" fillId="0" borderId="122" xfId="0" applyNumberFormat="1" applyBorder="1"/>
    <xf numFmtId="0" fontId="0" fillId="0" borderId="149" xfId="0" applyBorder="1"/>
    <xf numFmtId="3" fontId="0" fillId="0" borderId="122" xfId="0" applyNumberFormat="1" applyBorder="1"/>
    <xf numFmtId="3" fontId="0" fillId="0" borderId="150" xfId="0" applyNumberFormat="1" applyBorder="1"/>
    <xf numFmtId="49" fontId="3" fillId="2" borderId="98" xfId="0" applyNumberFormat="1" applyFont="1" applyFill="1" applyBorder="1" applyAlignment="1">
      <alignment horizontal="left" wrapText="1"/>
    </xf>
    <xf numFmtId="0" fontId="0" fillId="2" borderId="96" xfId="0" applyFill="1" applyBorder="1" applyAlignment="1">
      <alignment wrapText="1"/>
    </xf>
    <xf numFmtId="164" fontId="0" fillId="2" borderId="151" xfId="0" applyNumberFormat="1" applyFill="1" applyBorder="1"/>
    <xf numFmtId="0" fontId="0" fillId="2" borderId="54" xfId="0" applyFill="1" applyBorder="1" applyAlignment="1">
      <alignment horizontal="left" wrapText="1"/>
    </xf>
    <xf numFmtId="0" fontId="0" fillId="2" borderId="54" xfId="0" applyFill="1" applyBorder="1"/>
    <xf numFmtId="0" fontId="0" fillId="2" borderId="93" xfId="0" applyFill="1" applyBorder="1"/>
    <xf numFmtId="0" fontId="0" fillId="2" borderId="45" xfId="0" applyFill="1" applyBorder="1"/>
    <xf numFmtId="4" fontId="0" fillId="2" borderId="93" xfId="0" applyNumberFormat="1" applyFill="1" applyBorder="1"/>
    <xf numFmtId="165" fontId="0" fillId="2" borderId="45" xfId="0" applyNumberFormat="1" applyFill="1" applyBorder="1"/>
    <xf numFmtId="0" fontId="0" fillId="2" borderId="54" xfId="0" applyFill="1" applyBorder="1" applyAlignment="1">
      <alignment wrapText="1"/>
    </xf>
    <xf numFmtId="49" fontId="0" fillId="2" borderId="110" xfId="0" applyNumberFormat="1" applyFill="1" applyBorder="1" applyAlignment="1">
      <alignment horizontal="left" wrapText="1"/>
    </xf>
    <xf numFmtId="164" fontId="0" fillId="2" borderId="110" xfId="0" applyNumberFormat="1" applyFill="1" applyBorder="1"/>
    <xf numFmtId="164" fontId="0" fillId="2" borderId="97" xfId="0" applyNumberFormat="1" applyFill="1" applyBorder="1"/>
    <xf numFmtId="0" fontId="0" fillId="2" borderId="39" xfId="0" applyNumberFormat="1" applyFill="1" applyBorder="1"/>
    <xf numFmtId="0" fontId="0" fillId="2" borderId="110" xfId="0" applyNumberFormat="1" applyFill="1" applyBorder="1"/>
    <xf numFmtId="49" fontId="9" fillId="2" borderId="97" xfId="0" applyNumberFormat="1" applyFont="1" applyFill="1" applyBorder="1" applyAlignment="1">
      <alignment horizontal="left" wrapText="1"/>
    </xf>
    <xf numFmtId="164" fontId="9" fillId="2" borderId="10" xfId="0" applyNumberFormat="1" applyFont="1" applyFill="1" applyBorder="1"/>
    <xf numFmtId="164" fontId="9" fillId="2" borderId="97" xfId="0" applyNumberFormat="1" applyFont="1" applyFill="1" applyBorder="1"/>
    <xf numFmtId="49" fontId="0" fillId="2" borderId="97" xfId="0" applyNumberFormat="1" applyFill="1" applyBorder="1" applyAlignment="1">
      <alignment horizontal="left" wrapText="1"/>
    </xf>
    <xf numFmtId="49" fontId="2" fillId="2" borderId="110" xfId="0" applyNumberFormat="1" applyFont="1" applyFill="1" applyBorder="1" applyAlignment="1">
      <alignment horizontal="left"/>
    </xf>
    <xf numFmtId="3" fontId="0" fillId="2" borderId="39" xfId="0" applyNumberFormat="1" applyFill="1" applyBorder="1"/>
    <xf numFmtId="3" fontId="0" fillId="2" borderId="110" xfId="0" applyNumberFormat="1" applyFill="1" applyBorder="1"/>
    <xf numFmtId="49" fontId="2" fillId="2" borderId="45" xfId="0" applyNumberFormat="1" applyFont="1" applyFill="1" applyBorder="1" applyAlignment="1">
      <alignment horizontal="left"/>
    </xf>
    <xf numFmtId="3" fontId="0" fillId="2" borderId="54" xfId="0" applyNumberFormat="1" applyFill="1" applyBorder="1"/>
    <xf numFmtId="1" fontId="0" fillId="2" borderId="94" xfId="0" applyNumberFormat="1" applyFill="1" applyBorder="1"/>
    <xf numFmtId="3" fontId="0" fillId="2" borderId="45" xfId="0" applyNumberFormat="1" applyFill="1" applyBorder="1"/>
    <xf numFmtId="0" fontId="0" fillId="2" borderId="39" xfId="0" applyFill="1" applyBorder="1" applyAlignment="1">
      <alignment wrapText="1"/>
    </xf>
    <xf numFmtId="49" fontId="0" fillId="2" borderId="27" xfId="0" applyNumberFormat="1" applyFill="1" applyBorder="1" applyAlignment="1">
      <alignment horizontal="left" wrapText="1"/>
    </xf>
    <xf numFmtId="168" fontId="0" fillId="2" borderId="10" xfId="0" applyNumberFormat="1" applyFill="1" applyBorder="1"/>
    <xf numFmtId="49" fontId="0" fillId="2" borderId="25" xfId="0" applyNumberFormat="1" applyFill="1" applyBorder="1" applyAlignment="1">
      <alignment horizontal="left"/>
    </xf>
    <xf numFmtId="164" fontId="0" fillId="2" borderId="152" xfId="0" applyNumberFormat="1" applyFill="1" applyBorder="1"/>
    <xf numFmtId="164" fontId="0" fillId="2" borderId="155" xfId="0" applyNumberFormat="1" applyFill="1" applyBorder="1"/>
    <xf numFmtId="0" fontId="0" fillId="2" borderId="44" xfId="0" applyFill="1" applyBorder="1" applyAlignment="1">
      <alignment wrapText="1"/>
    </xf>
    <xf numFmtId="49" fontId="0" fillId="2" borderId="10" xfId="0" applyNumberFormat="1" applyFill="1" applyBorder="1" applyAlignment="1">
      <alignment horizontal="left"/>
    </xf>
    <xf numFmtId="164" fontId="0" fillId="2" borderId="156" xfId="0" applyNumberFormat="1" applyFill="1" applyBorder="1"/>
    <xf numFmtId="164" fontId="0" fillId="2" borderId="157" xfId="0" applyNumberFormat="1" applyFill="1" applyBorder="1"/>
    <xf numFmtId="168" fontId="0" fillId="2" borderId="97" xfId="0" applyNumberFormat="1" applyFill="1" applyBorder="1"/>
    <xf numFmtId="167" fontId="0" fillId="2" borderId="10" xfId="0" applyNumberFormat="1" applyFill="1" applyBorder="1"/>
    <xf numFmtId="167" fontId="0" fillId="2" borderId="97" xfId="0" applyNumberFormat="1" applyFill="1" applyBorder="1"/>
    <xf numFmtId="3" fontId="0" fillId="2" borderId="10" xfId="0" applyNumberFormat="1" applyFill="1" applyBorder="1"/>
    <xf numFmtId="3" fontId="0" fillId="2" borderId="97" xfId="0" applyNumberFormat="1" applyFill="1" applyBorder="1"/>
    <xf numFmtId="171" fontId="0" fillId="2" borderId="55" xfId="0" applyNumberFormat="1" applyFill="1" applyBorder="1"/>
    <xf numFmtId="10" fontId="0" fillId="2" borderId="94" xfId="0" applyNumberFormat="1" applyFill="1" applyBorder="1"/>
    <xf numFmtId="171" fontId="0" fillId="2" borderId="95" xfId="0" applyNumberFormat="1" applyFill="1" applyBorder="1"/>
    <xf numFmtId="2" fontId="0" fillId="2" borderId="94" xfId="0" applyNumberFormat="1" applyFill="1" applyBorder="1"/>
    <xf numFmtId="174" fontId="0" fillId="2" borderId="10" xfId="0" applyNumberFormat="1" applyFill="1" applyBorder="1"/>
    <xf numFmtId="10" fontId="0" fillId="2" borderId="98" xfId="0" applyNumberFormat="1" applyFill="1" applyBorder="1"/>
    <xf numFmtId="174" fontId="0" fillId="2" borderId="97" xfId="0" applyNumberFormat="1" applyFill="1" applyBorder="1"/>
    <xf numFmtId="2" fontId="0" fillId="2" borderId="98" xfId="0" applyNumberFormat="1" applyFill="1" applyBorder="1"/>
    <xf numFmtId="174" fontId="0" fillId="2" borderId="39" xfId="0" applyNumberFormat="1" applyFill="1" applyBorder="1"/>
    <xf numFmtId="174" fontId="0" fillId="2" borderId="110" xfId="0" applyNumberFormat="1" applyFill="1" applyBorder="1"/>
    <xf numFmtId="171" fontId="3" fillId="2" borderId="44" xfId="0" applyNumberFormat="1" applyFont="1" applyFill="1" applyBorder="1"/>
    <xf numFmtId="10" fontId="3" fillId="2" borderId="99" xfId="0" applyNumberFormat="1" applyFont="1" applyFill="1" applyBorder="1"/>
    <xf numFmtId="2" fontId="3" fillId="2" borderId="152" xfId="0" applyNumberFormat="1" applyFont="1" applyFill="1" applyBorder="1"/>
    <xf numFmtId="10" fontId="3" fillId="2" borderId="152" xfId="0" applyNumberFormat="1" applyFont="1" applyFill="1" applyBorder="1"/>
    <xf numFmtId="0" fontId="4" fillId="2" borderId="55" xfId="0" applyFont="1" applyFill="1" applyBorder="1" applyAlignment="1">
      <alignment horizontal="left" wrapText="1"/>
    </xf>
    <xf numFmtId="171" fontId="4" fillId="2" borderId="55" xfId="0" applyNumberFormat="1" applyFont="1" applyFill="1" applyBorder="1"/>
    <xf numFmtId="171" fontId="4" fillId="2" borderId="10" xfId="0" applyNumberFormat="1" applyFont="1" applyFill="1" applyBorder="1"/>
    <xf numFmtId="4" fontId="4" fillId="2" borderId="55" xfId="0" applyNumberFormat="1" applyFont="1" applyFill="1" applyBorder="1"/>
    <xf numFmtId="2" fontId="4" fillId="2" borderId="55" xfId="0" applyNumberFormat="1" applyFont="1" applyFill="1" applyBorder="1"/>
    <xf numFmtId="10" fontId="4" fillId="2" borderId="55" xfId="0" applyNumberFormat="1" applyFont="1" applyFill="1" applyBorder="1"/>
    <xf numFmtId="169" fontId="0" fillId="2" borderId="10" xfId="0" applyNumberFormat="1" applyFill="1" applyBorder="1"/>
    <xf numFmtId="169" fontId="0" fillId="2" borderId="159" xfId="0" applyNumberFormat="1" applyFill="1" applyBorder="1"/>
    <xf numFmtId="168" fontId="0" fillId="2" borderId="140" xfId="0" applyNumberFormat="1" applyFill="1" applyBorder="1"/>
    <xf numFmtId="0" fontId="0" fillId="2" borderId="10" xfId="0" applyFill="1" applyBorder="1" applyAlignment="1">
      <alignment horizontal="center"/>
    </xf>
    <xf numFmtId="166" fontId="0" fillId="2" borderId="10" xfId="0" applyNumberFormat="1" applyFill="1" applyBorder="1"/>
    <xf numFmtId="0" fontId="3" fillId="2" borderId="160" xfId="0" applyFont="1" applyFill="1" applyBorder="1" applyAlignment="1">
      <alignment horizontal="center" wrapText="1"/>
    </xf>
    <xf numFmtId="49" fontId="3" fillId="2" borderId="160" xfId="0" applyNumberFormat="1" applyFont="1" applyFill="1" applyBorder="1" applyAlignment="1">
      <alignment horizontal="center" wrapText="1"/>
    </xf>
    <xf numFmtId="0" fontId="0" fillId="4" borderId="160" xfId="0" applyFill="1" applyBorder="1"/>
    <xf numFmtId="0" fontId="0" fillId="4" borderId="160" xfId="0" applyFill="1" applyBorder="1" applyAlignment="1">
      <alignment wrapText="1"/>
    </xf>
    <xf numFmtId="0" fontId="3" fillId="2" borderId="161" xfId="0" applyFont="1" applyFill="1" applyBorder="1" applyAlignment="1">
      <alignment horizontal="center" wrapText="1"/>
    </xf>
    <xf numFmtId="49" fontId="3" fillId="2" borderId="162" xfId="0" applyNumberFormat="1" applyFont="1" applyFill="1" applyBorder="1" applyAlignment="1">
      <alignment horizontal="center" wrapText="1"/>
    </xf>
    <xf numFmtId="0" fontId="0" fillId="0" borderId="163" xfId="0" applyBorder="1"/>
    <xf numFmtId="0" fontId="0" fillId="0" borderId="161" xfId="0" applyBorder="1"/>
    <xf numFmtId="0" fontId="0" fillId="0" borderId="161" xfId="0" applyBorder="1" applyAlignment="1">
      <alignment wrapText="1"/>
    </xf>
    <xf numFmtId="49" fontId="3" fillId="6" borderId="164" xfId="0" applyNumberFormat="1" applyFont="1" applyFill="1" applyBorder="1"/>
    <xf numFmtId="0" fontId="0" fillId="6" borderId="165" xfId="0" applyFill="1" applyBorder="1" applyAlignment="1">
      <alignment wrapText="1"/>
    </xf>
    <xf numFmtId="0" fontId="0" fillId="0" borderId="166" xfId="0" applyBorder="1"/>
    <xf numFmtId="0" fontId="0" fillId="0" borderId="167" xfId="0" applyBorder="1"/>
    <xf numFmtId="0" fontId="0" fillId="0" borderId="167" xfId="0" applyBorder="1" applyAlignment="1">
      <alignment wrapText="1"/>
    </xf>
    <xf numFmtId="0" fontId="3" fillId="6" borderId="164" xfId="0" applyFont="1" applyFill="1" applyBorder="1"/>
    <xf numFmtId="49" fontId="0" fillId="6" borderId="168" xfId="0" applyNumberFormat="1" applyFill="1" applyBorder="1" applyAlignment="1">
      <alignment wrapText="1"/>
    </xf>
    <xf numFmtId="49" fontId="5" fillId="4" borderId="169" xfId="0" applyNumberFormat="1" applyFont="1" applyFill="1" applyBorder="1" applyAlignment="1">
      <alignment horizontal="center" wrapText="1"/>
    </xf>
    <xf numFmtId="0" fontId="0" fillId="6" borderId="168" xfId="0" applyFill="1" applyBorder="1" applyAlignment="1">
      <alignment wrapText="1"/>
    </xf>
    <xf numFmtId="0" fontId="5" fillId="4" borderId="169" xfId="0" applyFont="1" applyFill="1" applyBorder="1" applyAlignment="1">
      <alignment horizontal="center" wrapText="1"/>
    </xf>
    <xf numFmtId="0" fontId="3" fillId="6" borderId="164" xfId="0" applyFont="1" applyFill="1" applyBorder="1" applyAlignment="1">
      <alignment wrapText="1"/>
    </xf>
    <xf numFmtId="0" fontId="0" fillId="0" borderId="172" xfId="0" applyBorder="1" applyAlignment="1">
      <alignment wrapText="1"/>
    </xf>
    <xf numFmtId="0" fontId="0" fillId="0" borderId="173" xfId="0" applyBorder="1" applyAlignment="1">
      <alignment wrapText="1"/>
    </xf>
    <xf numFmtId="49" fontId="3" fillId="6" borderId="164" xfId="0" applyNumberFormat="1" applyFont="1" applyFill="1" applyBorder="1" applyAlignment="1">
      <alignment wrapText="1"/>
    </xf>
    <xf numFmtId="49" fontId="0" fillId="6" borderId="165" xfId="0" applyNumberFormat="1" applyFill="1" applyBorder="1" applyAlignment="1">
      <alignment wrapText="1"/>
    </xf>
    <xf numFmtId="0" fontId="0" fillId="0" borderId="164" xfId="0" applyBorder="1"/>
    <xf numFmtId="164" fontId="0" fillId="0" borderId="164" xfId="0" applyNumberFormat="1" applyBorder="1"/>
    <xf numFmtId="0" fontId="0" fillId="6" borderId="164" xfId="0" applyFill="1" applyBorder="1"/>
    <xf numFmtId="0" fontId="0" fillId="6" borderId="165" xfId="0" applyFill="1" applyBorder="1"/>
    <xf numFmtId="0" fontId="0" fillId="0" borderId="44" xfId="0" applyBorder="1" applyAlignment="1">
      <alignment wrapText="1"/>
    </xf>
    <xf numFmtId="0" fontId="0" fillId="0" borderId="174" xfId="0" applyBorder="1"/>
    <xf numFmtId="9" fontId="0" fillId="0" borderId="174" xfId="0" applyNumberFormat="1" applyBorder="1"/>
    <xf numFmtId="9" fontId="0" fillId="0" borderId="164" xfId="0" applyNumberFormat="1" applyBorder="1"/>
    <xf numFmtId="171" fontId="0" fillId="0" borderId="164" xfId="0" applyNumberFormat="1" applyBorder="1"/>
    <xf numFmtId="49" fontId="3" fillId="6" borderId="165" xfId="0" applyNumberFormat="1" applyFont="1" applyFill="1" applyBorder="1" applyAlignment="1">
      <alignment wrapText="1"/>
    </xf>
    <xf numFmtId="49" fontId="3" fillId="0" borderId="171" xfId="0" applyNumberFormat="1" applyFont="1" applyBorder="1"/>
    <xf numFmtId="0" fontId="3" fillId="0" borderId="172" xfId="0" applyFont="1" applyBorder="1"/>
    <xf numFmtId="49" fontId="3" fillId="0" borderId="172" xfId="0" applyNumberFormat="1" applyFont="1" applyBorder="1"/>
    <xf numFmtId="49" fontId="6" fillId="6" borderId="165" xfId="0" applyNumberFormat="1" applyFont="1" applyFill="1" applyBorder="1" applyAlignment="1">
      <alignment wrapText="1"/>
    </xf>
    <xf numFmtId="0" fontId="3" fillId="6" borderId="165" xfId="0" applyFont="1" applyFill="1" applyBorder="1" applyAlignment="1">
      <alignment wrapText="1"/>
    </xf>
    <xf numFmtId="9" fontId="0" fillId="2" borderId="178" xfId="0" applyNumberFormat="1" applyFill="1" applyBorder="1"/>
    <xf numFmtId="9" fontId="0" fillId="2" borderId="184" xfId="0" applyNumberFormat="1" applyFill="1" applyBorder="1"/>
    <xf numFmtId="49" fontId="12" fillId="2" borderId="10" xfId="0" applyNumberFormat="1" applyFont="1" applyFill="1" applyBorder="1" applyAlignment="1">
      <alignment vertical="center"/>
    </xf>
    <xf numFmtId="4" fontId="0" fillId="2" borderId="201" xfId="0" applyNumberFormat="1" applyFill="1" applyBorder="1"/>
    <xf numFmtId="1" fontId="0" fillId="2" borderId="200" xfId="0" applyNumberFormat="1" applyFill="1" applyBorder="1"/>
    <xf numFmtId="0" fontId="0" fillId="2" borderId="182" xfId="0" applyFill="1" applyBorder="1"/>
    <xf numFmtId="0" fontId="0" fillId="2" borderId="205" xfId="0" applyFill="1" applyBorder="1"/>
    <xf numFmtId="0" fontId="0" fillId="2" borderId="181" xfId="0" applyFill="1" applyBorder="1"/>
    <xf numFmtId="0" fontId="0" fillId="2" borderId="178" xfId="0" applyFill="1" applyBorder="1"/>
    <xf numFmtId="0" fontId="0" fillId="2" borderId="207" xfId="0" applyFill="1" applyBorder="1"/>
    <xf numFmtId="0" fontId="0" fillId="2" borderId="198" xfId="0" applyFill="1" applyBorder="1"/>
    <xf numFmtId="0" fontId="0" fillId="2" borderId="195" xfId="0" applyFill="1" applyBorder="1"/>
    <xf numFmtId="171" fontId="0" fillId="2" borderId="206" xfId="0" applyNumberFormat="1" applyFill="1" applyBorder="1"/>
    <xf numFmtId="0" fontId="0" fillId="2" borderId="180" xfId="0" applyFill="1" applyBorder="1"/>
    <xf numFmtId="171" fontId="0" fillId="2" borderId="182" xfId="0" applyNumberFormat="1" applyFill="1" applyBorder="1"/>
    <xf numFmtId="171" fontId="0" fillId="2" borderId="106" xfId="0" applyNumberFormat="1" applyFill="1" applyBorder="1"/>
    <xf numFmtId="171" fontId="0" fillId="2" borderId="182" xfId="0" applyNumberFormat="1" applyFill="1" applyBorder="1" applyAlignment="1">
      <alignment horizontal="center" vertical="center"/>
    </xf>
    <xf numFmtId="167" fontId="0" fillId="2" borderId="181" xfId="0" applyNumberFormat="1" applyFill="1" applyBorder="1"/>
    <xf numFmtId="10" fontId="4" fillId="2" borderId="106" xfId="0" applyNumberFormat="1" applyFont="1" applyFill="1" applyBorder="1"/>
    <xf numFmtId="0" fontId="0" fillId="2" borderId="184" xfId="0" applyFill="1" applyBorder="1"/>
    <xf numFmtId="49" fontId="0" fillId="2" borderId="178" xfId="0" applyNumberFormat="1" applyFill="1" applyBorder="1" applyAlignment="1">
      <alignment horizontal="left" wrapText="1"/>
    </xf>
    <xf numFmtId="164" fontId="0" fillId="2" borderId="178" xfId="0" applyNumberFormat="1" applyFill="1" applyBorder="1"/>
    <xf numFmtId="0" fontId="0" fillId="2" borderId="212" xfId="0" applyFill="1" applyBorder="1" applyAlignment="1">
      <alignment wrapText="1"/>
    </xf>
    <xf numFmtId="0" fontId="0" fillId="2" borderId="216" xfId="0" applyFill="1" applyBorder="1"/>
    <xf numFmtId="0" fontId="0" fillId="2" borderId="217" xfId="0" applyFill="1" applyBorder="1"/>
    <xf numFmtId="0" fontId="0" fillId="2" borderId="218" xfId="0" applyFill="1" applyBorder="1"/>
    <xf numFmtId="0" fontId="0" fillId="2" borderId="216" xfId="0" applyFill="1" applyBorder="1" applyAlignment="1">
      <alignment wrapText="1"/>
    </xf>
    <xf numFmtId="0" fontId="0" fillId="2" borderId="187" xfId="0" applyFill="1" applyBorder="1"/>
    <xf numFmtId="165" fontId="9" fillId="2" borderId="187" xfId="0" applyNumberFormat="1" applyFont="1" applyFill="1" applyBorder="1"/>
    <xf numFmtId="49" fontId="3" fillId="2" borderId="179" xfId="0" applyNumberFormat="1" applyFont="1" applyFill="1" applyBorder="1" applyAlignment="1">
      <alignment horizontal="left" wrapText="1"/>
    </xf>
    <xf numFmtId="0" fontId="0" fillId="2" borderId="178" xfId="0" applyFill="1" applyBorder="1" applyAlignment="1">
      <alignment horizontal="left" wrapText="1"/>
    </xf>
    <xf numFmtId="0" fontId="5" fillId="5" borderId="219" xfId="0" applyFont="1" applyFill="1" applyBorder="1" applyAlignment="1">
      <alignment horizontal="center" wrapText="1"/>
    </xf>
    <xf numFmtId="0" fontId="0" fillId="2" borderId="219" xfId="0" applyFill="1" applyBorder="1"/>
    <xf numFmtId="164" fontId="0" fillId="2" borderId="189" xfId="0" applyNumberFormat="1" applyFill="1" applyBorder="1"/>
    <xf numFmtId="164" fontId="0" fillId="2" borderId="188" xfId="0" applyNumberFormat="1" applyFill="1" applyBorder="1"/>
    <xf numFmtId="49" fontId="3" fillId="2" borderId="185" xfId="0" applyNumberFormat="1" applyFont="1" applyFill="1" applyBorder="1" applyAlignment="1">
      <alignment horizontal="left" wrapText="1"/>
    </xf>
    <xf numFmtId="0" fontId="0" fillId="2" borderId="154" xfId="0" applyFill="1" applyBorder="1"/>
    <xf numFmtId="49" fontId="12" fillId="2" borderId="10" xfId="0" applyNumberFormat="1" applyFont="1" applyFill="1" applyBorder="1" applyAlignment="1">
      <alignment horizontal="left" vertical="center"/>
    </xf>
    <xf numFmtId="49" fontId="12" fillId="2" borderId="10" xfId="0" applyNumberFormat="1" applyFont="1" applyFill="1" applyBorder="1" applyAlignment="1">
      <alignment vertical="center" wrapText="1"/>
    </xf>
    <xf numFmtId="49" fontId="12" fillId="6" borderId="165" xfId="0" applyNumberFormat="1" applyFont="1" applyFill="1" applyBorder="1" applyAlignment="1">
      <alignment wrapText="1"/>
    </xf>
    <xf numFmtId="49" fontId="4" fillId="7" borderId="39" xfId="0" applyNumberFormat="1" applyFont="1" applyFill="1" applyBorder="1" applyAlignment="1">
      <alignment wrapText="1"/>
    </xf>
    <xf numFmtId="164" fontId="0" fillId="7" borderId="39" xfId="0" applyNumberFormat="1" applyFill="1" applyBorder="1"/>
    <xf numFmtId="165" fontId="0" fillId="7" borderId="41" xfId="0" applyNumberFormat="1" applyFill="1" applyBorder="1"/>
    <xf numFmtId="9" fontId="0" fillId="7" borderId="42" xfId="0" applyNumberFormat="1" applyFill="1" applyBorder="1"/>
    <xf numFmtId="9" fontId="0" fillId="7" borderId="43" xfId="0" applyNumberFormat="1" applyFill="1" applyBorder="1"/>
    <xf numFmtId="9" fontId="0" fillId="7" borderId="67" xfId="0" applyNumberFormat="1" applyFill="1" applyBorder="1"/>
    <xf numFmtId="9" fontId="0" fillId="7" borderId="39" xfId="0" applyNumberFormat="1" applyFill="1" applyBorder="1"/>
    <xf numFmtId="0" fontId="0" fillId="7" borderId="0" xfId="0" applyNumberFormat="1" applyFill="1"/>
    <xf numFmtId="9" fontId="0" fillId="7" borderId="71" xfId="0" applyNumberFormat="1" applyFill="1" applyBorder="1"/>
    <xf numFmtId="164" fontId="0" fillId="2" borderId="184" xfId="0" applyNumberFormat="1" applyFill="1" applyBorder="1"/>
    <xf numFmtId="164" fontId="0" fillId="2" borderId="198" xfId="0" applyNumberFormat="1" applyFill="1" applyBorder="1"/>
    <xf numFmtId="0" fontId="0" fillId="2" borderId="187" xfId="0" applyNumberFormat="1" applyFill="1" applyBorder="1"/>
    <xf numFmtId="165" fontId="0" fillId="2" borderId="178" xfId="0" applyNumberFormat="1" applyFill="1" applyBorder="1"/>
    <xf numFmtId="165" fontId="0" fillId="2" borderId="184" xfId="0" applyNumberFormat="1" applyFill="1" applyBorder="1"/>
    <xf numFmtId="165" fontId="3" fillId="2" borderId="226" xfId="0" applyNumberFormat="1" applyFont="1" applyFill="1" applyBorder="1"/>
    <xf numFmtId="49" fontId="12" fillId="2" borderId="78" xfId="0" applyNumberFormat="1" applyFont="1" applyFill="1" applyBorder="1" applyAlignment="1">
      <alignment horizontal="left" wrapText="1"/>
    </xf>
    <xf numFmtId="49" fontId="12" fillId="2" borderId="10" xfId="0" applyNumberFormat="1" applyFont="1" applyFill="1" applyBorder="1" applyAlignment="1">
      <alignment horizontal="left" wrapText="1"/>
    </xf>
    <xf numFmtId="164" fontId="0" fillId="2" borderId="221" xfId="0" applyNumberFormat="1" applyFill="1" applyBorder="1"/>
    <xf numFmtId="0" fontId="0" fillId="2" borderId="192" xfId="0" applyFill="1" applyBorder="1"/>
    <xf numFmtId="49" fontId="12" fillId="2" borderId="10" xfId="0" applyNumberFormat="1" applyFont="1" applyFill="1" applyBorder="1" applyAlignment="1">
      <alignment wrapText="1"/>
    </xf>
    <xf numFmtId="165" fontId="0" fillId="2" borderId="190" xfId="0" applyNumberFormat="1" applyFill="1" applyBorder="1"/>
    <xf numFmtId="49" fontId="12" fillId="2" borderId="184" xfId="0" applyNumberFormat="1" applyFont="1" applyFill="1" applyBorder="1" applyAlignment="1">
      <alignment wrapText="1"/>
    </xf>
    <xf numFmtId="165" fontId="0" fillId="2" borderId="229" xfId="0" applyNumberFormat="1" applyFill="1" applyBorder="1"/>
    <xf numFmtId="49" fontId="12" fillId="2" borderId="18" xfId="0" applyNumberFormat="1" applyFont="1" applyFill="1" applyBorder="1" applyAlignment="1">
      <alignment wrapText="1"/>
    </xf>
    <xf numFmtId="9" fontId="0" fillId="2" borderId="27" xfId="1" applyFont="1" applyFill="1" applyBorder="1" applyAlignment="1"/>
    <xf numFmtId="9" fontId="0" fillId="2" borderId="10" xfId="1" applyFont="1" applyFill="1" applyBorder="1" applyAlignment="1"/>
    <xf numFmtId="9" fontId="0" fillId="2" borderId="178" xfId="1" applyFont="1" applyFill="1" applyBorder="1" applyAlignment="1"/>
    <xf numFmtId="9" fontId="0" fillId="2" borderId="184" xfId="1" applyFont="1" applyFill="1" applyBorder="1" applyAlignment="1"/>
    <xf numFmtId="9" fontId="0" fillId="2" borderId="221" xfId="1" applyFont="1" applyFill="1" applyBorder="1" applyAlignment="1"/>
    <xf numFmtId="9" fontId="0" fillId="2" borderId="198" xfId="1" applyFont="1" applyFill="1" applyBorder="1" applyAlignment="1"/>
    <xf numFmtId="9" fontId="0" fillId="0" borderId="0" xfId="1" applyFont="1" applyAlignment="1"/>
    <xf numFmtId="49" fontId="0" fillId="2" borderId="193" xfId="0" applyNumberFormat="1" applyFill="1" applyBorder="1"/>
    <xf numFmtId="0" fontId="0" fillId="0" borderId="106" xfId="0" applyNumberFormat="1" applyBorder="1"/>
    <xf numFmtId="49" fontId="3" fillId="2" borderId="193" xfId="0" applyNumberFormat="1" applyFont="1" applyFill="1" applyBorder="1"/>
    <xf numFmtId="0" fontId="3" fillId="2" borderId="193" xfId="0" applyFont="1" applyFill="1" applyBorder="1"/>
    <xf numFmtId="0" fontId="0" fillId="2" borderId="105" xfId="0" applyFill="1" applyBorder="1"/>
    <xf numFmtId="0" fontId="0" fillId="2" borderId="193" xfId="0" applyFill="1" applyBorder="1"/>
    <xf numFmtId="164" fontId="0" fillId="2" borderId="192" xfId="0" applyNumberFormat="1" applyFill="1" applyBorder="1"/>
    <xf numFmtId="0" fontId="12" fillId="2" borderId="10" xfId="0" applyNumberFormat="1" applyFont="1" applyFill="1" applyBorder="1" applyAlignment="1">
      <alignment wrapText="1"/>
    </xf>
    <xf numFmtId="1" fontId="3" fillId="2" borderId="23" xfId="1" applyNumberFormat="1" applyFont="1" applyFill="1" applyBorder="1" applyAlignment="1">
      <alignment horizontal="center"/>
    </xf>
    <xf numFmtId="0" fontId="3" fillId="2" borderId="239" xfId="0" applyNumberFormat="1" applyFont="1" applyFill="1" applyBorder="1" applyAlignment="1">
      <alignment horizontal="center"/>
    </xf>
    <xf numFmtId="9" fontId="0" fillId="2" borderId="240" xfId="0" applyNumberFormat="1" applyFill="1" applyBorder="1"/>
    <xf numFmtId="9" fontId="0" fillId="2" borderId="241" xfId="0" applyNumberFormat="1" applyFill="1" applyBorder="1"/>
    <xf numFmtId="9" fontId="3" fillId="2" borderId="242" xfId="0" applyNumberFormat="1" applyFont="1" applyFill="1" applyBorder="1"/>
    <xf numFmtId="9" fontId="0" fillId="2" borderId="190" xfId="0" applyNumberFormat="1" applyFill="1" applyBorder="1"/>
    <xf numFmtId="9" fontId="0" fillId="2" borderId="181" xfId="0" applyNumberFormat="1" applyFill="1" applyBorder="1"/>
    <xf numFmtId="49" fontId="3" fillId="2" borderId="238" xfId="0" applyNumberFormat="1" applyFont="1" applyFill="1" applyBorder="1" applyAlignment="1">
      <alignment horizontal="center"/>
    </xf>
    <xf numFmtId="164" fontId="0" fillId="2" borderId="238" xfId="0" applyNumberFormat="1" applyFill="1" applyBorder="1"/>
    <xf numFmtId="164" fontId="3" fillId="2" borderId="238" xfId="0" applyNumberFormat="1" applyFont="1" applyFill="1" applyBorder="1"/>
    <xf numFmtId="9" fontId="0" fillId="2" borderId="193" xfId="0" applyNumberFormat="1" applyFill="1" applyBorder="1"/>
    <xf numFmtId="9" fontId="0" fillId="2" borderId="208" xfId="0" applyNumberFormat="1" applyFill="1" applyBorder="1"/>
    <xf numFmtId="9" fontId="0" fillId="2" borderId="243" xfId="0" applyNumberFormat="1" applyFill="1" applyBorder="1"/>
    <xf numFmtId="1" fontId="3" fillId="2" borderId="238" xfId="0" applyNumberFormat="1" applyFont="1" applyFill="1" applyBorder="1" applyAlignment="1">
      <alignment horizontal="center"/>
    </xf>
    <xf numFmtId="164" fontId="0" fillId="7" borderId="238" xfId="0" applyNumberFormat="1" applyFill="1" applyBorder="1"/>
    <xf numFmtId="164" fontId="12" fillId="2" borderId="27" xfId="0" applyNumberFormat="1" applyFont="1" applyFill="1" applyBorder="1"/>
    <xf numFmtId="164" fontId="12" fillId="2" borderId="238" xfId="0" applyNumberFormat="1" applyFont="1" applyFill="1" applyBorder="1"/>
    <xf numFmtId="9" fontId="12" fillId="2" borderId="79" xfId="0" applyNumberFormat="1" applyFont="1" applyFill="1" applyBorder="1"/>
    <xf numFmtId="9" fontId="3" fillId="2" borderId="201" xfId="0" applyNumberFormat="1" applyFont="1" applyFill="1" applyBorder="1"/>
    <xf numFmtId="9" fontId="0" fillId="2" borderId="228" xfId="1" applyFont="1" applyFill="1" applyBorder="1" applyAlignment="1"/>
    <xf numFmtId="9" fontId="3" fillId="2" borderId="245" xfId="0" applyNumberFormat="1" applyFont="1" applyFill="1" applyBorder="1"/>
    <xf numFmtId="9" fontId="3" fillId="2" borderId="246" xfId="0" applyNumberFormat="1" applyFont="1" applyFill="1" applyBorder="1"/>
    <xf numFmtId="9" fontId="3" fillId="2" borderId="237" xfId="1" applyFont="1" applyFill="1" applyBorder="1" applyAlignment="1"/>
    <xf numFmtId="9" fontId="3" fillId="2" borderId="247" xfId="0" applyNumberFormat="1" applyFont="1" applyFill="1" applyBorder="1"/>
    <xf numFmtId="9" fontId="3" fillId="2" borderId="248" xfId="0" applyNumberFormat="1" applyFont="1" applyFill="1" applyBorder="1"/>
    <xf numFmtId="9" fontId="0" fillId="2" borderId="249" xfId="1" applyFont="1" applyFill="1" applyBorder="1" applyAlignment="1"/>
    <xf numFmtId="0" fontId="3" fillId="0" borderId="0" xfId="0" applyNumberFormat="1" applyFont="1"/>
    <xf numFmtId="9" fontId="3" fillId="2" borderId="251" xfId="1" applyFont="1" applyFill="1" applyBorder="1" applyAlignment="1"/>
    <xf numFmtId="9" fontId="3" fillId="2" borderId="207" xfId="0" applyNumberFormat="1" applyFont="1" applyFill="1" applyBorder="1"/>
    <xf numFmtId="164" fontId="3" fillId="2" borderId="252" xfId="0" applyNumberFormat="1" applyFont="1" applyFill="1" applyBorder="1"/>
    <xf numFmtId="166" fontId="0" fillId="2" borderId="253" xfId="0" applyNumberFormat="1" applyFill="1" applyBorder="1"/>
    <xf numFmtId="164" fontId="12" fillId="8" borderId="112" xfId="0" applyNumberFormat="1" applyFont="1" applyFill="1" applyBorder="1"/>
    <xf numFmtId="49" fontId="12" fillId="2" borderId="193" xfId="0" applyNumberFormat="1" applyFont="1" applyFill="1" applyBorder="1" applyAlignment="1">
      <alignment wrapText="1"/>
    </xf>
    <xf numFmtId="165" fontId="0" fillId="2" borderId="258" xfId="0" applyNumberFormat="1" applyFill="1" applyBorder="1"/>
    <xf numFmtId="165" fontId="0" fillId="2" borderId="263" xfId="0" applyNumberFormat="1" applyFill="1" applyBorder="1"/>
    <xf numFmtId="0" fontId="0" fillId="2" borderId="264" xfId="0" applyFill="1" applyBorder="1"/>
    <xf numFmtId="0" fontId="0" fillId="2" borderId="265" xfId="0" applyFill="1" applyBorder="1"/>
    <xf numFmtId="0" fontId="0" fillId="2" borderId="266" xfId="0" applyFill="1" applyBorder="1"/>
    <xf numFmtId="0" fontId="3" fillId="2" borderId="267" xfId="0" applyFont="1" applyFill="1" applyBorder="1" applyAlignment="1">
      <alignment horizontal="center"/>
    </xf>
    <xf numFmtId="166" fontId="0" fillId="2" borderId="268" xfId="0" applyNumberFormat="1" applyFill="1" applyBorder="1"/>
    <xf numFmtId="165" fontId="0" fillId="2" borderId="268" xfId="0" applyNumberFormat="1" applyFill="1" applyBorder="1"/>
    <xf numFmtId="165" fontId="3" fillId="2" borderId="268" xfId="0" applyNumberFormat="1" applyFont="1" applyFill="1" applyBorder="1"/>
    <xf numFmtId="9" fontId="3" fillId="2" borderId="269" xfId="0" applyNumberFormat="1" applyFont="1" applyFill="1" applyBorder="1"/>
    <xf numFmtId="9" fontId="3" fillId="2" borderId="270" xfId="0" applyNumberFormat="1" applyFont="1" applyFill="1" applyBorder="1"/>
    <xf numFmtId="0" fontId="0" fillId="2" borderId="271" xfId="0" applyFill="1" applyBorder="1"/>
    <xf numFmtId="165" fontId="0" fillId="2" borderId="272" xfId="0" applyNumberFormat="1" applyFill="1" applyBorder="1"/>
    <xf numFmtId="0" fontId="3" fillId="2" borderId="273" xfId="0" applyFont="1" applyFill="1" applyBorder="1" applyAlignment="1">
      <alignment horizontal="center"/>
    </xf>
    <xf numFmtId="166" fontId="0" fillId="2" borderId="274" xfId="0" applyNumberFormat="1" applyFill="1" applyBorder="1"/>
    <xf numFmtId="166" fontId="0" fillId="2" borderId="275" xfId="0" applyNumberFormat="1" applyFill="1" applyBorder="1"/>
    <xf numFmtId="165" fontId="0" fillId="2" borderId="275" xfId="0" applyNumberFormat="1" applyFill="1" applyBorder="1"/>
    <xf numFmtId="9" fontId="3" fillId="2" borderId="275" xfId="0" applyNumberFormat="1" applyFont="1" applyFill="1" applyBorder="1"/>
    <xf numFmtId="9" fontId="3" fillId="2" borderId="216" xfId="0" applyNumberFormat="1" applyFont="1" applyFill="1" applyBorder="1"/>
    <xf numFmtId="9" fontId="0" fillId="2" borderId="271" xfId="1" applyFont="1" applyFill="1" applyBorder="1" applyAlignment="1"/>
    <xf numFmtId="0" fontId="0" fillId="2" borderId="271" xfId="0" applyNumberFormat="1" applyFill="1" applyBorder="1"/>
    <xf numFmtId="9" fontId="3" fillId="2" borderId="184" xfId="1" applyFont="1" applyFill="1" applyBorder="1" applyAlignment="1"/>
    <xf numFmtId="0" fontId="3" fillId="2" borderId="184" xfId="0" applyFont="1" applyFill="1" applyBorder="1"/>
    <xf numFmtId="0" fontId="3" fillId="2" borderId="184" xfId="0" applyNumberFormat="1" applyFont="1" applyFill="1" applyBorder="1"/>
    <xf numFmtId="49" fontId="7" fillId="2" borderId="10" xfId="0" applyNumberFormat="1" applyFont="1" applyFill="1" applyBorder="1" applyAlignment="1">
      <alignment vertical="center"/>
    </xf>
    <xf numFmtId="49" fontId="7" fillId="2" borderId="10" xfId="0" applyNumberFormat="1" applyFont="1" applyFill="1" applyBorder="1" applyAlignment="1">
      <alignment wrapText="1"/>
    </xf>
    <xf numFmtId="49" fontId="4" fillId="9" borderId="134" xfId="0" applyNumberFormat="1" applyFont="1" applyFill="1" applyBorder="1" applyAlignment="1">
      <alignment wrapText="1"/>
    </xf>
    <xf numFmtId="164" fontId="4" fillId="9" borderId="135" xfId="0" applyNumberFormat="1" applyFont="1" applyFill="1" applyBorder="1"/>
    <xf numFmtId="165" fontId="4" fillId="9" borderId="136" xfId="0" applyNumberFormat="1" applyFont="1" applyFill="1" applyBorder="1"/>
    <xf numFmtId="165" fontId="4" fillId="9" borderId="115" xfId="0" applyNumberFormat="1" applyFont="1" applyFill="1" applyBorder="1"/>
    <xf numFmtId="9" fontId="3" fillId="9" borderId="241" xfId="0" applyNumberFormat="1" applyFont="1" applyFill="1" applyBorder="1"/>
    <xf numFmtId="164" fontId="4" fillId="9" borderId="252" xfId="0" applyNumberFormat="1" applyFont="1" applyFill="1" applyBorder="1"/>
    <xf numFmtId="0" fontId="0" fillId="9" borderId="0" xfId="0" applyNumberFormat="1" applyFill="1"/>
    <xf numFmtId="49" fontId="4" fillId="9" borderId="15" xfId="0" applyNumberFormat="1" applyFont="1" applyFill="1" applyBorder="1" applyAlignment="1">
      <alignment wrapText="1"/>
    </xf>
    <xf numFmtId="164" fontId="4" fillId="9" borderId="259" xfId="0" applyNumberFormat="1" applyFont="1" applyFill="1" applyBorder="1"/>
    <xf numFmtId="164" fontId="4" fillId="9" borderId="260" xfId="0" applyNumberFormat="1" applyFont="1" applyFill="1" applyBorder="1"/>
    <xf numFmtId="164" fontId="4" fillId="9" borderId="261" xfId="0" applyNumberFormat="1" applyFont="1" applyFill="1" applyBorder="1"/>
    <xf numFmtId="0" fontId="4" fillId="9" borderId="123" xfId="0" applyFont="1" applyFill="1" applyBorder="1"/>
    <xf numFmtId="0" fontId="4" fillId="9" borderId="27" xfId="0" applyFont="1" applyFill="1" applyBorder="1"/>
    <xf numFmtId="9" fontId="4" fillId="9" borderId="27" xfId="0" applyNumberFormat="1" applyFont="1" applyFill="1" applyBorder="1"/>
    <xf numFmtId="9" fontId="3" fillId="9" borderId="226" xfId="0" applyNumberFormat="1" applyFont="1" applyFill="1" applyBorder="1"/>
    <xf numFmtId="0" fontId="4" fillId="9" borderId="226" xfId="0" applyFont="1" applyFill="1" applyBorder="1"/>
    <xf numFmtId="9" fontId="3" fillId="9" borderId="242" xfId="0" applyNumberFormat="1" applyFont="1" applyFill="1" applyBorder="1"/>
    <xf numFmtId="164" fontId="3" fillId="9" borderId="238" xfId="0" applyNumberFormat="1" applyFont="1" applyFill="1" applyBorder="1"/>
    <xf numFmtId="49" fontId="12" fillId="2" borderId="193" xfId="0" applyNumberFormat="1" applyFont="1" applyFill="1" applyBorder="1" applyAlignment="1">
      <alignment horizontal="left" vertical="center"/>
    </xf>
    <xf numFmtId="49" fontId="0" fillId="2" borderId="178" xfId="0" applyNumberFormat="1" applyFill="1" applyBorder="1" applyAlignment="1">
      <alignment vertical="center" wrapText="1"/>
    </xf>
    <xf numFmtId="164" fontId="0" fillId="2" borderId="178" xfId="0" applyNumberFormat="1" applyFill="1" applyBorder="1" applyAlignment="1">
      <alignment vertical="center"/>
    </xf>
    <xf numFmtId="164" fontId="0" fillId="2" borderId="184" xfId="0" applyNumberFormat="1" applyFill="1" applyBorder="1" applyAlignment="1">
      <alignment vertical="center"/>
    </xf>
    <xf numFmtId="49" fontId="3" fillId="2" borderId="278" xfId="0" applyNumberFormat="1" applyFont="1" applyFill="1" applyBorder="1" applyAlignment="1">
      <alignment vertical="center"/>
    </xf>
    <xf numFmtId="164" fontId="3" fillId="2" borderId="278" xfId="0" applyNumberFormat="1" applyFont="1" applyFill="1" applyBorder="1"/>
    <xf numFmtId="49" fontId="12" fillId="2" borderId="178" xfId="0" applyNumberFormat="1" applyFont="1" applyFill="1" applyBorder="1" applyAlignment="1">
      <alignment horizontal="left" vertical="center"/>
    </xf>
    <xf numFmtId="49" fontId="3" fillId="2" borderId="278" xfId="0" applyNumberFormat="1" applyFont="1" applyFill="1" applyBorder="1" applyAlignment="1">
      <alignment horizontal="left" vertical="center"/>
    </xf>
    <xf numFmtId="49" fontId="0" fillId="2" borderId="184" xfId="0" applyNumberFormat="1" applyFill="1" applyBorder="1" applyAlignment="1">
      <alignment vertical="center" wrapText="1"/>
    </xf>
    <xf numFmtId="164" fontId="0" fillId="2" borderId="221" xfId="0" applyNumberFormat="1" applyFill="1" applyBorder="1" applyAlignment="1">
      <alignment vertical="center"/>
    </xf>
    <xf numFmtId="49" fontId="3" fillId="2" borderId="278" xfId="0" applyNumberFormat="1" applyFont="1" applyFill="1" applyBorder="1" applyAlignment="1">
      <alignment vertical="center" wrapText="1"/>
    </xf>
    <xf numFmtId="164" fontId="3" fillId="2" borderId="278" xfId="0" applyNumberFormat="1" applyFont="1" applyFill="1" applyBorder="1" applyAlignment="1">
      <alignment vertical="center"/>
    </xf>
    <xf numFmtId="164" fontId="12" fillId="8" borderId="221" xfId="0" applyNumberFormat="1" applyFont="1" applyFill="1" applyBorder="1"/>
    <xf numFmtId="0" fontId="0" fillId="2" borderId="10" xfId="0" applyFill="1" applyBorder="1" applyAlignment="1">
      <alignment horizontal="left" vertical="top"/>
    </xf>
    <xf numFmtId="164" fontId="0" fillId="2" borderId="10" xfId="1" applyNumberFormat="1" applyFont="1" applyFill="1" applyBorder="1" applyAlignment="1">
      <alignment horizontal="left" vertical="top"/>
    </xf>
    <xf numFmtId="0" fontId="0" fillId="2" borderId="208" xfId="0" applyFill="1" applyBorder="1"/>
    <xf numFmtId="164" fontId="0" fillId="2" borderId="184" xfId="1" applyNumberFormat="1" applyFont="1" applyFill="1" applyBorder="1" applyAlignment="1">
      <alignment horizontal="left" vertical="top"/>
    </xf>
    <xf numFmtId="0" fontId="0" fillId="2" borderId="178" xfId="0" applyNumberFormat="1" applyFill="1" applyBorder="1"/>
    <xf numFmtId="0" fontId="0" fillId="2" borderId="184" xfId="0" applyNumberFormat="1" applyFill="1" applyBorder="1"/>
    <xf numFmtId="167" fontId="0" fillId="0" borderId="279" xfId="0" applyNumberFormat="1" applyBorder="1"/>
    <xf numFmtId="169" fontId="0" fillId="2" borderId="280" xfId="0" applyNumberFormat="1" applyFill="1" applyBorder="1"/>
    <xf numFmtId="168" fontId="0" fillId="2" borderId="280" xfId="0" applyNumberFormat="1" applyFill="1" applyBorder="1"/>
    <xf numFmtId="3" fontId="0" fillId="0" borderId="280" xfId="0" applyNumberFormat="1" applyBorder="1"/>
    <xf numFmtId="0" fontId="0" fillId="2" borderId="179" xfId="0" applyFill="1" applyBorder="1" applyAlignment="1">
      <alignment wrapText="1"/>
    </xf>
    <xf numFmtId="49" fontId="12" fillId="0" borderId="238" xfId="0" applyNumberFormat="1" applyFont="1" applyBorder="1" applyAlignment="1">
      <alignment vertical="top" wrapText="1"/>
    </xf>
    <xf numFmtId="0" fontId="12" fillId="2" borderId="10" xfId="0" applyNumberFormat="1" applyFont="1" applyFill="1" applyBorder="1"/>
    <xf numFmtId="164" fontId="0" fillId="10" borderId="78" xfId="0" applyNumberFormat="1" applyFill="1" applyBorder="1"/>
    <xf numFmtId="49" fontId="3" fillId="9" borderId="72" xfId="0" applyNumberFormat="1" applyFont="1" applyFill="1" applyBorder="1" applyAlignment="1">
      <alignment wrapText="1"/>
    </xf>
    <xf numFmtId="164" fontId="3" fillId="9" borderId="73" xfId="0" applyNumberFormat="1" applyFont="1" applyFill="1" applyBorder="1"/>
    <xf numFmtId="164" fontId="3" fillId="9" borderId="74" xfId="0" applyNumberFormat="1" applyFont="1" applyFill="1" applyBorder="1"/>
    <xf numFmtId="164" fontId="3" fillId="9" borderId="75" xfId="0" applyNumberFormat="1" applyFont="1" applyFill="1" applyBorder="1"/>
    <xf numFmtId="165" fontId="3" fillId="9" borderId="49" xfId="0" applyNumberFormat="1" applyFont="1" applyFill="1" applyBorder="1"/>
    <xf numFmtId="9" fontId="0" fillId="9" borderId="50" xfId="0" applyNumberFormat="1" applyFill="1" applyBorder="1"/>
    <xf numFmtId="9" fontId="0" fillId="9" borderId="51" xfId="0" applyNumberFormat="1" applyFill="1" applyBorder="1"/>
    <xf numFmtId="9" fontId="3" fillId="9" borderId="76" xfId="0" applyNumberFormat="1" applyFont="1" applyFill="1" applyBorder="1"/>
    <xf numFmtId="9" fontId="3" fillId="9" borderId="54" xfId="0" applyNumberFormat="1" applyFont="1" applyFill="1" applyBorder="1"/>
    <xf numFmtId="9" fontId="3" fillId="9" borderId="201" xfId="0" applyNumberFormat="1" applyFont="1" applyFill="1" applyBorder="1"/>
    <xf numFmtId="9" fontId="3" fillId="9" borderId="237" xfId="1" applyFont="1" applyFill="1" applyBorder="1" applyAlignment="1"/>
    <xf numFmtId="9" fontId="0" fillId="9" borderId="248" xfId="0" applyNumberFormat="1" applyFill="1" applyBorder="1"/>
    <xf numFmtId="164" fontId="0" fillId="9" borderId="238" xfId="0" applyNumberFormat="1" applyFill="1" applyBorder="1"/>
    <xf numFmtId="165" fontId="0" fillId="2" borderId="181" xfId="0" applyNumberFormat="1" applyFill="1" applyBorder="1"/>
    <xf numFmtId="49" fontId="12" fillId="2" borderId="178" xfId="0" applyNumberFormat="1" applyFont="1" applyFill="1" applyBorder="1" applyAlignment="1">
      <alignment wrapText="1"/>
    </xf>
    <xf numFmtId="49" fontId="12" fillId="2" borderId="153" xfId="0" applyNumberFormat="1" applyFont="1" applyFill="1" applyBorder="1" applyAlignment="1">
      <alignment horizontal="left" wrapText="1"/>
    </xf>
    <xf numFmtId="49" fontId="0" fillId="2" borderId="284" xfId="0" applyNumberFormat="1" applyFill="1" applyBorder="1" applyAlignment="1">
      <alignment horizontal="left" wrapText="1"/>
    </xf>
    <xf numFmtId="164" fontId="0" fillId="2" borderId="285" xfId="0" applyNumberFormat="1" applyFill="1" applyBorder="1"/>
    <xf numFmtId="4" fontId="0" fillId="2" borderId="106" xfId="0" applyNumberFormat="1" applyFill="1" applyBorder="1"/>
    <xf numFmtId="165" fontId="0" fillId="2" borderId="106" xfId="0" applyNumberFormat="1" applyFill="1" applyBorder="1"/>
    <xf numFmtId="0" fontId="0" fillId="2" borderId="106" xfId="0" applyFill="1" applyBorder="1" applyAlignment="1">
      <alignment wrapText="1"/>
    </xf>
    <xf numFmtId="49" fontId="12" fillId="2" borderId="219" xfId="0" applyNumberFormat="1" applyFont="1" applyFill="1" applyBorder="1" applyAlignment="1">
      <alignment horizontal="left" wrapText="1"/>
    </xf>
    <xf numFmtId="164" fontId="0" fillId="2" borderId="212" xfId="0" applyNumberFormat="1" applyFill="1" applyBorder="1"/>
    <xf numFmtId="164" fontId="0" fillId="2" borderId="220" xfId="0" applyNumberFormat="1" applyFill="1" applyBorder="1"/>
    <xf numFmtId="49" fontId="0" fillId="2" borderId="238" xfId="0" applyNumberFormat="1" applyFill="1" applyBorder="1" applyAlignment="1">
      <alignment horizontal="left" wrapText="1"/>
    </xf>
    <xf numFmtId="49" fontId="5" fillId="2" borderId="238" xfId="0" applyNumberFormat="1" applyFont="1" applyFill="1" applyBorder="1" applyAlignment="1">
      <alignment horizontal="left" wrapText="1"/>
    </xf>
    <xf numFmtId="44" fontId="0" fillId="2" borderId="252" xfId="2" applyFont="1" applyFill="1" applyBorder="1"/>
    <xf numFmtId="4" fontId="0" fillId="2" borderId="288" xfId="0" applyNumberFormat="1" applyFill="1" applyBorder="1"/>
    <xf numFmtId="0" fontId="0" fillId="2" borderId="288" xfId="0" applyFill="1" applyBorder="1" applyAlignment="1">
      <alignment wrapText="1"/>
    </xf>
    <xf numFmtId="0" fontId="0" fillId="2" borderId="106" xfId="0" applyFill="1" applyBorder="1" applyAlignment="1">
      <alignment horizontal="left" wrapText="1"/>
    </xf>
    <xf numFmtId="0" fontId="12" fillId="6" borderId="165" xfId="0" applyFont="1" applyFill="1" applyBorder="1" applyAlignment="1">
      <alignment vertical="top" wrapText="1"/>
    </xf>
    <xf numFmtId="0" fontId="12" fillId="6" borderId="165" xfId="0" applyFont="1" applyFill="1" applyBorder="1" applyAlignment="1">
      <alignment horizontal="left" vertical="top" wrapText="1"/>
    </xf>
    <xf numFmtId="9" fontId="0" fillId="0" borderId="296" xfId="1" applyFont="1" applyBorder="1"/>
    <xf numFmtId="0" fontId="0" fillId="0" borderId="297" xfId="0" applyBorder="1"/>
    <xf numFmtId="9" fontId="0" fillId="0" borderId="297" xfId="1" applyFont="1" applyBorder="1"/>
    <xf numFmtId="0" fontId="0" fillId="0" borderId="262" xfId="0" applyBorder="1" applyAlignment="1">
      <alignment wrapText="1"/>
    </xf>
    <xf numFmtId="164" fontId="12" fillId="0" borderId="164" xfId="0" applyNumberFormat="1" applyFont="1" applyBorder="1"/>
    <xf numFmtId="0" fontId="0" fillId="0" borderId="299" xfId="0" applyBorder="1"/>
    <xf numFmtId="0" fontId="0" fillId="0" borderId="300" xfId="0" applyBorder="1"/>
    <xf numFmtId="0" fontId="5" fillId="2" borderId="216" xfId="0" applyFont="1" applyFill="1" applyBorder="1" applyAlignment="1">
      <alignment horizontal="left"/>
    </xf>
    <xf numFmtId="49" fontId="9" fillId="2" borderId="184" xfId="0" applyNumberFormat="1" applyFont="1" applyFill="1" applyBorder="1" applyAlignment="1">
      <alignment horizontal="left" wrapText="1"/>
    </xf>
    <xf numFmtId="164" fontId="0" fillId="2" borderId="302" xfId="0" applyNumberFormat="1" applyFill="1" applyBorder="1"/>
    <xf numFmtId="0" fontId="5" fillId="2" borderId="303" xfId="0" applyFont="1" applyFill="1" applyBorder="1" applyAlignment="1">
      <alignment horizontal="left"/>
    </xf>
    <xf numFmtId="0" fontId="0" fillId="2" borderId="179" xfId="0" applyFill="1" applyBorder="1"/>
    <xf numFmtId="0" fontId="0" fillId="2" borderId="303" xfId="0" applyFill="1" applyBorder="1"/>
    <xf numFmtId="0" fontId="0" fillId="2" borderId="212" xfId="0" applyFill="1" applyBorder="1"/>
    <xf numFmtId="1" fontId="0" fillId="2" borderId="220" xfId="0" applyNumberFormat="1" applyFill="1" applyBorder="1"/>
    <xf numFmtId="0" fontId="5" fillId="2" borderId="216" xfId="0" applyFont="1" applyFill="1" applyBorder="1" applyAlignment="1">
      <alignment horizontal="left" wrapText="1"/>
    </xf>
    <xf numFmtId="0" fontId="9" fillId="2" borderId="187" xfId="0" applyNumberFormat="1" applyFont="1" applyFill="1" applyBorder="1" applyAlignment="1">
      <alignment horizontal="left"/>
    </xf>
    <xf numFmtId="1" fontId="0" fillId="2" borderId="185" xfId="0" applyNumberFormat="1" applyFill="1" applyBorder="1"/>
    <xf numFmtId="49" fontId="0" fillId="2" borderId="187" xfId="0" applyNumberFormat="1" applyFill="1" applyBorder="1" applyAlignment="1">
      <alignment horizontal="left" wrapText="1"/>
    </xf>
    <xf numFmtId="1" fontId="0" fillId="2" borderId="190" xfId="0" applyNumberFormat="1" applyFill="1" applyBorder="1"/>
    <xf numFmtId="1" fontId="0" fillId="2" borderId="209" xfId="0" applyNumberFormat="1" applyFill="1" applyBorder="1"/>
    <xf numFmtId="164" fontId="0" fillId="2" borderId="303" xfId="0" applyNumberFormat="1" applyFill="1" applyBorder="1"/>
    <xf numFmtId="9" fontId="0" fillId="2" borderId="10" xfId="1" applyFont="1" applyFill="1" applyBorder="1"/>
    <xf numFmtId="0" fontId="0" fillId="2" borderId="307" xfId="0" applyFill="1" applyBorder="1"/>
    <xf numFmtId="0" fontId="0" fillId="2" borderId="293" xfId="0" applyFill="1" applyBorder="1" applyAlignment="1">
      <alignment wrapText="1"/>
    </xf>
    <xf numFmtId="0" fontId="0" fillId="2" borderId="154" xfId="0" applyFill="1" applyBorder="1" applyAlignment="1">
      <alignment wrapText="1"/>
    </xf>
    <xf numFmtId="2" fontId="0" fillId="2" borderId="238" xfId="0" applyNumberFormat="1" applyFill="1" applyBorder="1"/>
    <xf numFmtId="0" fontId="5" fillId="2" borderId="211" xfId="0" applyFont="1" applyFill="1" applyBorder="1" applyAlignment="1">
      <alignment horizontal="left" wrapText="1"/>
    </xf>
    <xf numFmtId="49" fontId="12" fillId="2" borderId="238" xfId="0" applyNumberFormat="1" applyFont="1" applyFill="1" applyBorder="1" applyAlignment="1">
      <alignment horizontal="left" wrapText="1"/>
    </xf>
    <xf numFmtId="0" fontId="0" fillId="2" borderId="310" xfId="0" applyFill="1" applyBorder="1"/>
    <xf numFmtId="49" fontId="0" fillId="2" borderId="252" xfId="0" applyNumberFormat="1" applyFill="1" applyBorder="1" applyAlignment="1">
      <alignment horizontal="left" wrapText="1"/>
    </xf>
    <xf numFmtId="164" fontId="0" fillId="2" borderId="252" xfId="0" applyNumberFormat="1" applyFill="1" applyBorder="1"/>
    <xf numFmtId="2" fontId="0" fillId="2" borderId="252" xfId="0" applyNumberFormat="1" applyFill="1" applyBorder="1"/>
    <xf numFmtId="164" fontId="0" fillId="2" borderId="287" xfId="0" applyNumberFormat="1" applyFill="1" applyBorder="1"/>
    <xf numFmtId="49" fontId="9" fillId="2" borderId="287" xfId="0" applyNumberFormat="1" applyFont="1" applyFill="1" applyBorder="1" applyAlignment="1">
      <alignment horizontal="left" wrapText="1"/>
    </xf>
    <xf numFmtId="49" fontId="12" fillId="2" borderId="221" xfId="0" applyNumberFormat="1" applyFont="1" applyFill="1" applyBorder="1" applyAlignment="1">
      <alignment horizontal="left" wrapText="1"/>
    </xf>
    <xf numFmtId="49" fontId="9" fillId="2" borderId="238" xfId="0" applyNumberFormat="1" applyFont="1" applyFill="1" applyBorder="1" applyAlignment="1">
      <alignment horizontal="left" wrapText="1"/>
    </xf>
    <xf numFmtId="9" fontId="0" fillId="2" borderId="238" xfId="1" applyFont="1" applyFill="1" applyBorder="1"/>
    <xf numFmtId="171" fontId="0" fillId="2" borderId="238" xfId="1" applyNumberFormat="1" applyFont="1" applyFill="1" applyBorder="1"/>
    <xf numFmtId="0" fontId="0" fillId="2" borderId="288" xfId="0" applyFill="1" applyBorder="1"/>
    <xf numFmtId="164" fontId="0" fillId="2" borderId="315" xfId="0" applyNumberFormat="1" applyFill="1" applyBorder="1"/>
    <xf numFmtId="49" fontId="12" fillId="2" borderId="181" xfId="0" applyNumberFormat="1" applyFont="1" applyFill="1" applyBorder="1" applyAlignment="1">
      <alignment horizontal="left" wrapText="1"/>
    </xf>
    <xf numFmtId="49" fontId="12" fillId="2" borderId="198" xfId="0" applyNumberFormat="1" applyFont="1" applyFill="1" applyBorder="1" applyAlignment="1">
      <alignment horizontal="left" wrapText="1"/>
    </xf>
    <xf numFmtId="2" fontId="0" fillId="2" borderId="254" xfId="0" applyNumberFormat="1" applyFill="1" applyBorder="1"/>
    <xf numFmtId="0" fontId="0" fillId="2" borderId="314" xfId="0" applyFill="1" applyBorder="1"/>
    <xf numFmtId="0" fontId="0" fillId="2" borderId="320" xfId="0" applyFill="1" applyBorder="1" applyAlignment="1">
      <alignment wrapText="1"/>
    </xf>
    <xf numFmtId="2" fontId="0" fillId="2" borderId="286" xfId="0" applyNumberFormat="1" applyFill="1" applyBorder="1"/>
    <xf numFmtId="49" fontId="11" fillId="2" borderId="106" xfId="0" applyNumberFormat="1" applyFont="1" applyFill="1" applyBorder="1" applyAlignment="1">
      <alignment horizontal="center"/>
    </xf>
    <xf numFmtId="49" fontId="11" fillId="2" borderId="232" xfId="0" applyNumberFormat="1" applyFont="1" applyFill="1" applyBorder="1" applyAlignment="1">
      <alignment horizontal="center"/>
    </xf>
    <xf numFmtId="0" fontId="3" fillId="2" borderId="281" xfId="0" applyFont="1" applyFill="1" applyBorder="1" applyAlignment="1">
      <alignment horizontal="center"/>
    </xf>
    <xf numFmtId="0" fontId="3" fillId="2" borderId="178" xfId="0" applyFont="1" applyFill="1" applyBorder="1" applyAlignment="1">
      <alignment horizontal="center"/>
    </xf>
    <xf numFmtId="9" fontId="3" fillId="2" borderId="178" xfId="1" applyFont="1" applyFill="1" applyBorder="1" applyAlignment="1">
      <alignment horizontal="center"/>
    </xf>
    <xf numFmtId="0" fontId="3" fillId="2" borderId="178" xfId="0" applyNumberFormat="1" applyFont="1" applyFill="1" applyBorder="1" applyAlignment="1">
      <alignment horizontal="center"/>
    </xf>
    <xf numFmtId="168" fontId="0" fillId="2" borderId="323" xfId="0" applyNumberFormat="1" applyFill="1" applyBorder="1"/>
    <xf numFmtId="168" fontId="0" fillId="2" borderId="324" xfId="0" applyNumberFormat="1" applyFill="1" applyBorder="1"/>
    <xf numFmtId="168" fontId="0" fillId="2" borderId="325" xfId="0" applyNumberFormat="1" applyFill="1" applyBorder="1"/>
    <xf numFmtId="166" fontId="0" fillId="2" borderId="323" xfId="0" applyNumberFormat="1" applyFill="1" applyBorder="1"/>
    <xf numFmtId="166" fontId="0" fillId="2" borderId="325" xfId="0" applyNumberFormat="1" applyFill="1" applyBorder="1"/>
    <xf numFmtId="0" fontId="0" fillId="2" borderId="321" xfId="0" applyFill="1" applyBorder="1"/>
    <xf numFmtId="49" fontId="5" fillId="2" borderId="243" xfId="0" applyNumberFormat="1" applyFont="1" applyFill="1" applyBorder="1" applyAlignment="1">
      <alignment horizontal="left"/>
    </xf>
    <xf numFmtId="164" fontId="0" fillId="2" borderId="186" xfId="0" applyNumberFormat="1" applyFill="1" applyBorder="1"/>
    <xf numFmtId="164" fontId="0" fillId="2" borderId="187" xfId="0" applyNumberFormat="1" applyFill="1" applyBorder="1"/>
    <xf numFmtId="0" fontId="0" fillId="2" borderId="295" xfId="0" applyFill="1" applyBorder="1"/>
    <xf numFmtId="169" fontId="0" fillId="2" borderId="144" xfId="0" applyNumberFormat="1" applyFill="1" applyBorder="1"/>
    <xf numFmtId="0" fontId="0" fillId="2" borderId="237" xfId="0" applyFill="1" applyBorder="1"/>
    <xf numFmtId="0" fontId="0" fillId="2" borderId="237" xfId="1" applyNumberFormat="1" applyFont="1" applyFill="1" applyBorder="1" applyAlignment="1"/>
    <xf numFmtId="49" fontId="12" fillId="7" borderId="39" xfId="0" applyNumberFormat="1" applyFont="1" applyFill="1" applyBorder="1" applyAlignment="1">
      <alignment wrapText="1"/>
    </xf>
    <xf numFmtId="49" fontId="3" fillId="9" borderId="44" xfId="0" applyNumberFormat="1" applyFont="1" applyFill="1" applyBorder="1" applyAlignment="1">
      <alignment horizontal="left" wrapText="1"/>
    </xf>
    <xf numFmtId="164" fontId="3" fillId="9" borderId="47" xfId="0" applyNumberFormat="1" applyFont="1" applyFill="1" applyBorder="1"/>
    <xf numFmtId="164" fontId="3" fillId="9" borderId="46" xfId="0" applyNumberFormat="1" applyFont="1" applyFill="1" applyBorder="1"/>
    <xf numFmtId="164" fontId="3" fillId="9" borderId="48" xfId="0" applyNumberFormat="1" applyFont="1" applyFill="1" applyBorder="1"/>
    <xf numFmtId="9" fontId="3" fillId="9" borderId="52" xfId="0" applyNumberFormat="1" applyFont="1" applyFill="1" applyBorder="1"/>
    <xf numFmtId="9" fontId="3" fillId="9" borderId="247" xfId="0" applyNumberFormat="1" applyFont="1" applyFill="1" applyBorder="1"/>
    <xf numFmtId="9" fontId="3" fillId="9" borderId="248" xfId="0" applyNumberFormat="1" applyFont="1" applyFill="1" applyBorder="1"/>
    <xf numFmtId="49" fontId="3" fillId="12" borderId="45" xfId="0" applyNumberFormat="1" applyFont="1" applyFill="1" applyBorder="1" applyAlignment="1">
      <alignment wrapText="1"/>
    </xf>
    <xf numFmtId="164" fontId="3" fillId="12" borderId="54" xfId="0" applyNumberFormat="1" applyFont="1" applyFill="1" applyBorder="1"/>
    <xf numFmtId="165" fontId="3" fillId="12" borderId="49" xfId="0" applyNumberFormat="1" applyFont="1" applyFill="1" applyBorder="1"/>
    <xf numFmtId="9" fontId="3" fillId="12" borderId="52" xfId="0" applyNumberFormat="1" applyFont="1" applyFill="1" applyBorder="1"/>
    <xf numFmtId="9" fontId="3" fillId="12" borderId="247" xfId="0" applyNumberFormat="1" applyFont="1" applyFill="1" applyBorder="1"/>
    <xf numFmtId="9" fontId="3" fillId="12" borderId="237" xfId="1" applyFont="1" applyFill="1" applyBorder="1" applyAlignment="1"/>
    <xf numFmtId="9" fontId="3" fillId="12" borderId="248" xfId="0" applyNumberFormat="1" applyFont="1" applyFill="1" applyBorder="1"/>
    <xf numFmtId="164" fontId="3" fillId="12" borderId="238" xfId="0" applyNumberFormat="1" applyFont="1" applyFill="1" applyBorder="1"/>
    <xf numFmtId="0" fontId="0" fillId="12" borderId="0" xfId="0" applyNumberFormat="1" applyFill="1"/>
    <xf numFmtId="0" fontId="12" fillId="0" borderId="113" xfId="0" applyFont="1" applyFill="1" applyBorder="1" applyAlignment="1">
      <alignment wrapText="1"/>
    </xf>
    <xf numFmtId="49" fontId="3" fillId="13" borderId="24" xfId="0" applyNumberFormat="1" applyFont="1" applyFill="1" applyBorder="1" applyAlignment="1">
      <alignment wrapText="1"/>
    </xf>
    <xf numFmtId="49" fontId="3" fillId="13" borderId="278" xfId="0" applyNumberFormat="1" applyFont="1" applyFill="1" applyBorder="1" applyAlignment="1">
      <alignment vertical="center"/>
    </xf>
    <xf numFmtId="164" fontId="3" fillId="13" borderId="278" xfId="0" applyNumberFormat="1" applyFont="1" applyFill="1" applyBorder="1"/>
    <xf numFmtId="49" fontId="3" fillId="2" borderId="178" xfId="0" applyNumberFormat="1" applyFont="1" applyFill="1" applyBorder="1"/>
    <xf numFmtId="0" fontId="0" fillId="0" borderId="238" xfId="0" applyNumberFormat="1" applyBorder="1"/>
    <xf numFmtId="0" fontId="12" fillId="2" borderId="238" xfId="0" applyFont="1" applyFill="1" applyBorder="1" applyAlignment="1">
      <alignment vertical="top" wrapText="1"/>
    </xf>
    <xf numFmtId="175" fontId="0" fillId="0" borderId="174" xfId="2" applyNumberFormat="1" applyFont="1" applyBorder="1"/>
    <xf numFmtId="175" fontId="0" fillId="0" borderId="164" xfId="2" applyNumberFormat="1" applyFont="1" applyBorder="1"/>
    <xf numFmtId="171" fontId="0" fillId="0" borderId="164" xfId="1" applyNumberFormat="1" applyFont="1" applyBorder="1"/>
    <xf numFmtId="49" fontId="3" fillId="0" borderId="172" xfId="0" applyNumberFormat="1" applyFont="1" applyBorder="1" applyAlignment="1">
      <alignment horizontal="center" vertical="top"/>
    </xf>
    <xf numFmtId="176" fontId="0" fillId="0" borderId="174" xfId="3" applyNumberFormat="1" applyFont="1" applyBorder="1"/>
    <xf numFmtId="176" fontId="0" fillId="0" borderId="164" xfId="3" applyNumberFormat="1" applyFont="1" applyBorder="1"/>
    <xf numFmtId="164" fontId="0" fillId="2" borderId="321" xfId="0" applyNumberFormat="1" applyFill="1" applyBorder="1"/>
    <xf numFmtId="2" fontId="0" fillId="2" borderId="181" xfId="0" applyNumberFormat="1" applyFill="1" applyBorder="1" applyAlignment="1">
      <alignment horizontal="center" vertical="center"/>
    </xf>
    <xf numFmtId="49" fontId="12" fillId="2" borderId="178" xfId="0" applyNumberFormat="1" applyFont="1" applyFill="1" applyBorder="1" applyAlignment="1">
      <alignment horizontal="left" wrapText="1"/>
    </xf>
    <xf numFmtId="49" fontId="9" fillId="2" borderId="198" xfId="0" applyNumberFormat="1" applyFont="1" applyFill="1" applyBorder="1" applyAlignment="1">
      <alignment horizontal="left" wrapText="1"/>
    </xf>
    <xf numFmtId="49" fontId="12" fillId="2" borderId="249" xfId="0" applyNumberFormat="1" applyFont="1" applyFill="1" applyBorder="1" applyAlignment="1">
      <alignment horizontal="left" wrapText="1"/>
    </xf>
    <xf numFmtId="171" fontId="0" fillId="2" borderId="179" xfId="0" applyNumberFormat="1" applyFill="1" applyBorder="1" applyAlignment="1">
      <alignment horizontal="center" vertical="center"/>
    </xf>
    <xf numFmtId="164" fontId="0" fillId="2" borderId="154" xfId="0" applyNumberFormat="1" applyFill="1" applyBorder="1"/>
    <xf numFmtId="171" fontId="0" fillId="2" borderId="154" xfId="0" applyNumberFormat="1" applyFill="1" applyBorder="1" applyAlignment="1">
      <alignment horizontal="center" vertical="center"/>
    </xf>
    <xf numFmtId="171" fontId="0" fillId="2" borderId="217" xfId="0" applyNumberFormat="1" applyFill="1" applyBorder="1" applyAlignment="1">
      <alignment horizontal="center" vertical="center"/>
    </xf>
    <xf numFmtId="171" fontId="0" fillId="2" borderId="179" xfId="0" applyNumberFormat="1" applyFill="1" applyBorder="1"/>
    <xf numFmtId="171" fontId="0" fillId="2" borderId="180" xfId="0" applyNumberFormat="1" applyFill="1" applyBorder="1"/>
    <xf numFmtId="49" fontId="9" fillId="2" borderId="184" xfId="0" applyNumberFormat="1" applyFont="1" applyFill="1" applyBorder="1" applyAlignment="1">
      <alignment horizontal="left"/>
    </xf>
    <xf numFmtId="49" fontId="0" fillId="2" borderId="305" xfId="0" applyNumberFormat="1" applyFill="1" applyBorder="1"/>
    <xf numFmtId="171" fontId="0" fillId="2" borderId="306" xfId="0" applyNumberFormat="1" applyFill="1" applyBorder="1"/>
    <xf numFmtId="0" fontId="0" fillId="2" borderId="328" xfId="0" applyFill="1" applyBorder="1"/>
    <xf numFmtId="171" fontId="0" fillId="2" borderId="328" xfId="0" applyNumberFormat="1" applyFill="1" applyBorder="1"/>
    <xf numFmtId="171" fontId="0" fillId="2" borderId="308" xfId="0" applyNumberFormat="1" applyFill="1" applyBorder="1"/>
    <xf numFmtId="49" fontId="3" fillId="2" borderId="304" xfId="0" applyNumberFormat="1" applyFont="1" applyFill="1" applyBorder="1" applyAlignment="1">
      <alignment horizontal="left"/>
    </xf>
    <xf numFmtId="0" fontId="5" fillId="2" borderId="178" xfId="0" applyFont="1" applyFill="1" applyBorder="1" applyAlignment="1">
      <alignment horizontal="left"/>
    </xf>
    <xf numFmtId="164" fontId="0" fillId="2" borderId="329" xfId="0" applyNumberFormat="1" applyFill="1" applyBorder="1"/>
    <xf numFmtId="164" fontId="0" fillId="2" borderId="180" xfId="0" applyNumberFormat="1" applyFill="1" applyBorder="1"/>
    <xf numFmtId="0" fontId="5" fillId="2" borderId="189" xfId="0" applyFont="1" applyFill="1" applyBorder="1" applyAlignment="1">
      <alignment horizontal="left"/>
    </xf>
    <xf numFmtId="171" fontId="0" fillId="2" borderId="154" xfId="0" applyNumberFormat="1" applyFill="1" applyBorder="1"/>
    <xf numFmtId="49" fontId="3" fillId="2" borderId="213" xfId="0" applyNumberFormat="1" applyFont="1" applyFill="1" applyBorder="1"/>
    <xf numFmtId="49" fontId="3" fillId="2" borderId="214" xfId="0" applyNumberFormat="1" applyFont="1" applyFill="1" applyBorder="1"/>
    <xf numFmtId="49" fontId="3" fillId="2" borderId="215" xfId="0" applyNumberFormat="1" applyFont="1" applyFill="1" applyBorder="1"/>
    <xf numFmtId="49" fontId="9" fillId="2" borderId="221" xfId="0" applyNumberFormat="1" applyFont="1" applyFill="1" applyBorder="1" applyAlignment="1">
      <alignment horizontal="left"/>
    </xf>
    <xf numFmtId="4" fontId="0" fillId="2" borderId="179" xfId="0" applyNumberFormat="1" applyFill="1" applyBorder="1"/>
    <xf numFmtId="165" fontId="0" fillId="2" borderId="303" xfId="0" applyNumberFormat="1" applyFill="1" applyBorder="1"/>
    <xf numFmtId="49" fontId="9" fillId="2" borderId="330" xfId="0" applyNumberFormat="1" applyFont="1" applyFill="1" applyBorder="1" applyAlignment="1">
      <alignment horizontal="left" wrapText="1"/>
    </xf>
    <xf numFmtId="164" fontId="0" fillId="2" borderId="331" xfId="0" applyNumberFormat="1" applyFill="1" applyBorder="1"/>
    <xf numFmtId="0" fontId="0" fillId="2" borderId="252" xfId="0" applyFill="1" applyBorder="1" applyAlignment="1">
      <alignment horizontal="left" wrapText="1"/>
    </xf>
    <xf numFmtId="0" fontId="0" fillId="2" borderId="252" xfId="0" applyFill="1" applyBorder="1"/>
    <xf numFmtId="4" fontId="0" fillId="2" borderId="252" xfId="0" applyNumberFormat="1" applyFill="1" applyBorder="1"/>
    <xf numFmtId="165" fontId="0" fillId="2" borderId="252" xfId="0" applyNumberFormat="1" applyFill="1" applyBorder="1"/>
    <xf numFmtId="0" fontId="9" fillId="2" borderId="287" xfId="0" applyFont="1" applyFill="1" applyBorder="1" applyAlignment="1">
      <alignment horizontal="left" wrapText="1"/>
    </xf>
    <xf numFmtId="44" fontId="0" fillId="2" borderId="287" xfId="2" applyFont="1" applyFill="1" applyBorder="1"/>
    <xf numFmtId="0" fontId="0" fillId="2" borderId="216" xfId="0" applyFill="1" applyBorder="1" applyAlignment="1">
      <alignment horizontal="left" wrapText="1"/>
    </xf>
    <xf numFmtId="4" fontId="0" fillId="2" borderId="217" xfId="0" applyNumberFormat="1" applyFill="1" applyBorder="1"/>
    <xf numFmtId="165" fontId="0" fillId="2" borderId="218" xfId="0" applyNumberFormat="1" applyFill="1" applyBorder="1"/>
    <xf numFmtId="49" fontId="12" fillId="2" borderId="333" xfId="0" applyNumberFormat="1" applyFont="1" applyFill="1" applyBorder="1" applyAlignment="1">
      <alignment horizontal="left" vertical="top" wrapText="1"/>
    </xf>
    <xf numFmtId="164" fontId="0" fillId="2" borderId="334" xfId="0" applyNumberFormat="1" applyFill="1" applyBorder="1"/>
    <xf numFmtId="0" fontId="9" fillId="2" borderId="187" xfId="0" applyNumberFormat="1" applyFont="1" applyFill="1" applyBorder="1" applyAlignment="1">
      <alignment horizontal="left" wrapText="1"/>
    </xf>
    <xf numFmtId="165" fontId="9" fillId="2" borderId="184" xfId="0" applyNumberFormat="1" applyFont="1" applyFill="1" applyBorder="1"/>
    <xf numFmtId="0" fontId="0" fillId="2" borderId="183" xfId="0" applyFill="1" applyBorder="1"/>
    <xf numFmtId="0" fontId="0" fillId="2" borderId="210" xfId="0" applyFill="1" applyBorder="1"/>
    <xf numFmtId="0" fontId="0" fillId="2" borderId="204" xfId="0" applyFill="1" applyBorder="1"/>
    <xf numFmtId="4" fontId="0" fillId="2" borderId="202" xfId="0" applyNumberFormat="1" applyFill="1" applyBorder="1" applyAlignment="1">
      <alignment horizontal="center"/>
    </xf>
    <xf numFmtId="1" fontId="0" fillId="2" borderId="191" xfId="0" applyNumberFormat="1" applyFill="1" applyBorder="1"/>
    <xf numFmtId="0" fontId="0" fillId="2" borderId="290" xfId="0" applyFill="1" applyBorder="1"/>
    <xf numFmtId="0" fontId="0" fillId="2" borderId="237" xfId="0" applyFill="1" applyBorder="1" applyAlignment="1">
      <alignment wrapText="1"/>
    </xf>
    <xf numFmtId="49" fontId="0" fillId="2" borderId="219" xfId="0" applyNumberFormat="1" applyFill="1" applyBorder="1" applyAlignment="1">
      <alignment horizontal="left" vertical="center" wrapText="1"/>
    </xf>
    <xf numFmtId="164" fontId="2" fillId="2" borderId="238" xfId="0" applyNumberFormat="1" applyFont="1" applyFill="1" applyBorder="1"/>
    <xf numFmtId="49" fontId="3" fillId="2" borderId="106" xfId="0" applyNumberFormat="1" applyFont="1" applyFill="1" applyBorder="1" applyAlignment="1">
      <alignment horizontal="left" vertical="center" wrapText="1"/>
    </xf>
    <xf numFmtId="0" fontId="0" fillId="2" borderId="181" xfId="0" applyFill="1" applyBorder="1" applyAlignment="1">
      <alignment horizontal="left" wrapText="1"/>
    </xf>
    <xf numFmtId="164" fontId="0" fillId="2" borderId="227" xfId="0" applyNumberFormat="1" applyFill="1" applyBorder="1"/>
    <xf numFmtId="49" fontId="0" fillId="2" borderId="340" xfId="0" applyNumberFormat="1" applyFill="1" applyBorder="1" applyAlignment="1">
      <alignment horizontal="left" wrapText="1"/>
    </xf>
    <xf numFmtId="49" fontId="3" fillId="2" borderId="304" xfId="0" applyNumberFormat="1" applyFont="1" applyFill="1" applyBorder="1" applyAlignment="1">
      <alignment horizontal="left" wrapText="1"/>
    </xf>
    <xf numFmtId="9" fontId="0" fillId="2" borderId="184" xfId="1" applyFont="1" applyFill="1" applyBorder="1"/>
    <xf numFmtId="0" fontId="0" fillId="2" borderId="198" xfId="0" applyFill="1" applyBorder="1" applyAlignment="1">
      <alignment wrapText="1"/>
    </xf>
    <xf numFmtId="0" fontId="0" fillId="2" borderId="203" xfId="0" applyFill="1" applyBorder="1" applyAlignment="1">
      <alignment wrapText="1"/>
    </xf>
    <xf numFmtId="171" fontId="0" fillId="2" borderId="181" xfId="0" applyNumberFormat="1" applyFill="1" applyBorder="1"/>
    <xf numFmtId="171" fontId="0" fillId="2" borderId="208" xfId="0" applyNumberFormat="1" applyFill="1" applyBorder="1"/>
    <xf numFmtId="0" fontId="5" fillId="2" borderId="309" xfId="0" applyFont="1" applyFill="1" applyBorder="1" applyAlignment="1">
      <alignment horizontal="center" wrapText="1"/>
    </xf>
    <xf numFmtId="168" fontId="9" fillId="2" borderId="184" xfId="0" applyNumberFormat="1" applyFont="1" applyFill="1" applyBorder="1"/>
    <xf numFmtId="168" fontId="9" fillId="2" borderId="187" xfId="0" applyNumberFormat="1" applyFont="1" applyFill="1" applyBorder="1"/>
    <xf numFmtId="167" fontId="0" fillId="2" borderId="106" xfId="0" applyNumberFormat="1" applyFill="1" applyBorder="1"/>
    <xf numFmtId="167" fontId="0" fillId="2" borderId="251" xfId="0" applyNumberFormat="1" applyFill="1" applyBorder="1"/>
    <xf numFmtId="2" fontId="0" fillId="2" borderId="294" xfId="0" applyNumberFormat="1" applyFill="1" applyBorder="1" applyAlignment="1">
      <alignment vertical="center" wrapText="1"/>
    </xf>
    <xf numFmtId="167" fontId="0" fillId="2" borderId="179" xfId="0" applyNumberFormat="1" applyFill="1" applyBorder="1"/>
    <xf numFmtId="167" fontId="0" fillId="2" borderId="208" xfId="0" applyNumberFormat="1" applyFill="1" applyBorder="1"/>
    <xf numFmtId="49" fontId="12" fillId="2" borderId="345" xfId="0" applyNumberFormat="1" applyFont="1" applyFill="1" applyBorder="1" applyAlignment="1">
      <alignment horizontal="left" wrapText="1"/>
    </xf>
    <xf numFmtId="168" fontId="9" fillId="2" borderId="346" xfId="0" applyNumberFormat="1" applyFont="1" applyFill="1" applyBorder="1"/>
    <xf numFmtId="164" fontId="9" fillId="2" borderId="184" xfId="0" applyNumberFormat="1" applyFont="1" applyFill="1" applyBorder="1"/>
    <xf numFmtId="164" fontId="9" fillId="2" borderId="187" xfId="0" applyNumberFormat="1" applyFont="1" applyFill="1" applyBorder="1"/>
    <xf numFmtId="2" fontId="0" fillId="2" borderId="106" xfId="0" applyNumberFormat="1" applyFill="1" applyBorder="1" applyAlignment="1">
      <alignment horizontal="center" vertical="center"/>
    </xf>
    <xf numFmtId="49" fontId="12" fillId="2" borderId="158" xfId="0" applyNumberFormat="1" applyFont="1" applyFill="1" applyBorder="1" applyAlignment="1">
      <alignment horizontal="left" wrapText="1"/>
    </xf>
    <xf numFmtId="49" fontId="12" fillId="2" borderId="106" xfId="0" applyNumberFormat="1" applyFont="1" applyFill="1" applyBorder="1" applyAlignment="1">
      <alignment horizontal="left" vertical="center" wrapText="1"/>
    </xf>
    <xf numFmtId="49" fontId="9" fillId="2" borderId="106" xfId="0" applyNumberFormat="1" applyFont="1" applyFill="1" applyBorder="1" applyAlignment="1">
      <alignment horizontal="left" vertical="center" wrapText="1"/>
    </xf>
    <xf numFmtId="49" fontId="0" fillId="2" borderId="10" xfId="0" applyNumberFormat="1" applyFill="1" applyBorder="1" applyAlignment="1">
      <alignment horizontal="left" vertical="center" wrapText="1"/>
    </xf>
    <xf numFmtId="49" fontId="12" fillId="2" borderId="347" xfId="0" applyNumberFormat="1" applyFont="1" applyFill="1" applyBorder="1" applyAlignment="1">
      <alignment horizontal="left" vertical="center" wrapText="1"/>
    </xf>
    <xf numFmtId="49" fontId="9" fillId="2" borderId="238" xfId="0" applyNumberFormat="1" applyFont="1" applyFill="1" applyBorder="1" applyAlignment="1">
      <alignment horizontal="left" vertical="center" wrapText="1"/>
    </xf>
    <xf numFmtId="49" fontId="12" fillId="2" borderId="238" xfId="0" applyNumberFormat="1" applyFont="1" applyFill="1" applyBorder="1" applyAlignment="1">
      <alignment horizontal="left" vertical="center" wrapText="1"/>
    </xf>
    <xf numFmtId="164" fontId="0" fillId="2" borderId="348" xfId="0" applyNumberFormat="1" applyFill="1" applyBorder="1"/>
    <xf numFmtId="164" fontId="0" fillId="2" borderId="312" xfId="0" applyNumberFormat="1" applyFill="1" applyBorder="1"/>
    <xf numFmtId="49" fontId="12" fillId="2" borderId="208" xfId="0" applyNumberFormat="1" applyFont="1" applyFill="1" applyBorder="1" applyAlignment="1">
      <alignment horizontal="left" wrapText="1"/>
    </xf>
    <xf numFmtId="176" fontId="0" fillId="2" borderId="238" xfId="3" applyNumberFormat="1" applyFont="1" applyFill="1" applyBorder="1"/>
    <xf numFmtId="49" fontId="9" fillId="2" borderId="181" xfId="0" applyNumberFormat="1" applyFont="1" applyFill="1" applyBorder="1" applyAlignment="1">
      <alignment horizontal="left" wrapText="1"/>
    </xf>
    <xf numFmtId="168" fontId="12" fillId="2" borderId="238" xfId="0" applyNumberFormat="1" applyFont="1" applyFill="1" applyBorder="1" applyAlignment="1">
      <alignment horizontal="left" vertical="center" wrapText="1"/>
    </xf>
    <xf numFmtId="44" fontId="12" fillId="2" borderId="238" xfId="2" applyFont="1" applyFill="1" applyBorder="1" applyAlignment="1">
      <alignment horizontal="left" vertical="center" wrapText="1"/>
    </xf>
    <xf numFmtId="44" fontId="12" fillId="2" borderId="238" xfId="2" applyFont="1" applyFill="1" applyBorder="1"/>
    <xf numFmtId="49" fontId="3" fillId="2" borderId="10" xfId="0" applyNumberFormat="1" applyFont="1" applyFill="1" applyBorder="1" applyAlignment="1">
      <alignment horizontal="left" vertical="center" wrapText="1"/>
    </xf>
    <xf numFmtId="49" fontId="0" fillId="2" borderId="139" xfId="0" applyNumberFormat="1" applyFill="1" applyBorder="1" applyAlignment="1">
      <alignment horizontal="left" vertical="center" wrapText="1"/>
    </xf>
    <xf numFmtId="10" fontId="0" fillId="2" borderId="263" xfId="0" applyNumberFormat="1" applyFill="1" applyBorder="1"/>
    <xf numFmtId="10" fontId="0" fillId="2" borderId="238" xfId="0" applyNumberFormat="1" applyFill="1" applyBorder="1"/>
    <xf numFmtId="10" fontId="0" fillId="2" borderId="193" xfId="0" applyNumberFormat="1" applyFill="1" applyBorder="1"/>
    <xf numFmtId="10" fontId="3" fillId="2" borderId="183" xfId="0" applyNumberFormat="1" applyFont="1" applyFill="1" applyBorder="1"/>
    <xf numFmtId="166" fontId="0" fillId="2" borderId="193" xfId="0" applyNumberFormat="1" applyFill="1" applyBorder="1"/>
    <xf numFmtId="166" fontId="0" fillId="2" borderId="237" xfId="0" applyNumberFormat="1" applyFill="1" applyBorder="1"/>
    <xf numFmtId="165" fontId="0" fillId="2" borderId="193" xfId="0" applyNumberFormat="1" applyFill="1" applyBorder="1"/>
    <xf numFmtId="49" fontId="12" fillId="6" borderId="298" xfId="0" applyNumberFormat="1" applyFont="1" applyFill="1" applyBorder="1" applyAlignment="1">
      <alignment horizontal="center" vertical="top" wrapText="1"/>
    </xf>
    <xf numFmtId="0" fontId="0" fillId="2" borderId="352" xfId="0" applyFill="1" applyBorder="1"/>
    <xf numFmtId="0" fontId="0" fillId="2" borderId="354" xfId="0" applyFill="1" applyBorder="1"/>
    <xf numFmtId="0" fontId="0" fillId="2" borderId="241" xfId="0" applyFill="1" applyBorder="1"/>
    <xf numFmtId="0" fontId="0" fillId="2" borderId="356" xfId="0" applyFill="1" applyBorder="1"/>
    <xf numFmtId="0" fontId="0" fillId="2" borderId="357" xfId="0" applyFill="1" applyBorder="1"/>
    <xf numFmtId="0" fontId="3" fillId="2" borderId="227" xfId="0" applyFont="1" applyFill="1" applyBorder="1"/>
    <xf numFmtId="0" fontId="0" fillId="2" borderId="359" xfId="0" applyFill="1" applyBorder="1"/>
    <xf numFmtId="0" fontId="0" fillId="2" borderId="360" xfId="0" applyFill="1" applyBorder="1"/>
    <xf numFmtId="0" fontId="0" fillId="2" borderId="361" xfId="0" applyFill="1" applyBorder="1"/>
    <xf numFmtId="0" fontId="12" fillId="2" borderId="362" xfId="0" applyFont="1" applyFill="1" applyBorder="1" applyAlignment="1">
      <alignment wrapText="1"/>
    </xf>
    <xf numFmtId="164" fontId="0" fillId="2" borderId="363" xfId="1" applyNumberFormat="1" applyFont="1" applyFill="1" applyBorder="1" applyAlignment="1"/>
    <xf numFmtId="0" fontId="0" fillId="2" borderId="362" xfId="0" applyFill="1" applyBorder="1" applyAlignment="1">
      <alignment wrapText="1"/>
    </xf>
    <xf numFmtId="9" fontId="0" fillId="2" borderId="364" xfId="1" applyFont="1" applyFill="1" applyBorder="1" applyAlignment="1"/>
    <xf numFmtId="0" fontId="0" fillId="2" borderId="362" xfId="0" applyFill="1" applyBorder="1"/>
    <xf numFmtId="0" fontId="12" fillId="2" borderId="365" xfId="0" applyFont="1" applyFill="1" applyBorder="1" applyAlignment="1">
      <alignment wrapText="1"/>
    </xf>
    <xf numFmtId="164" fontId="0" fillId="2" borderId="366" xfId="0" applyNumberFormat="1" applyFill="1" applyBorder="1"/>
    <xf numFmtId="0" fontId="0" fillId="2" borderId="366" xfId="0" applyFill="1" applyBorder="1"/>
    <xf numFmtId="164" fontId="0" fillId="2" borderId="367" xfId="0" applyNumberFormat="1" applyFill="1" applyBorder="1"/>
    <xf numFmtId="0" fontId="12" fillId="2" borderId="214" xfId="0" applyFont="1" applyFill="1" applyBorder="1" applyAlignment="1">
      <alignment vertical="top" wrapText="1"/>
    </xf>
    <xf numFmtId="0" fontId="0" fillId="2" borderId="368" xfId="0" applyFill="1" applyBorder="1" applyAlignment="1">
      <alignment horizontal="left" vertical="top"/>
    </xf>
    <xf numFmtId="0" fontId="0" fillId="2" borderId="361" xfId="0" applyFill="1" applyBorder="1" applyAlignment="1">
      <alignment horizontal="left" vertical="top"/>
    </xf>
    <xf numFmtId="49" fontId="0" fillId="2" borderId="369" xfId="1" applyNumberFormat="1" applyFont="1" applyFill="1" applyBorder="1" applyAlignment="1">
      <alignment horizontal="left" vertical="top"/>
    </xf>
    <xf numFmtId="0" fontId="0" fillId="2" borderId="370" xfId="0" applyNumberFormat="1" applyFill="1" applyBorder="1" applyAlignment="1">
      <alignment horizontal="left" vertical="top"/>
    </xf>
    <xf numFmtId="164" fontId="0" fillId="2" borderId="371" xfId="0" applyNumberFormat="1" applyFill="1" applyBorder="1" applyAlignment="1">
      <alignment horizontal="left" vertical="top"/>
    </xf>
    <xf numFmtId="164" fontId="0" fillId="2" borderId="363" xfId="0" applyNumberFormat="1" applyFill="1" applyBorder="1" applyAlignment="1">
      <alignment horizontal="left" vertical="top"/>
    </xf>
    <xf numFmtId="164" fontId="0" fillId="2" borderId="362" xfId="0" applyNumberFormat="1" applyFill="1" applyBorder="1" applyAlignment="1">
      <alignment horizontal="left" vertical="top"/>
    </xf>
    <xf numFmtId="164" fontId="0" fillId="2" borderId="364" xfId="0" applyNumberFormat="1" applyFill="1" applyBorder="1" applyAlignment="1">
      <alignment horizontal="left" vertical="top"/>
    </xf>
    <xf numFmtId="164" fontId="0" fillId="2" borderId="365" xfId="0" applyNumberFormat="1" applyFill="1" applyBorder="1" applyAlignment="1">
      <alignment horizontal="left" vertical="top"/>
    </xf>
    <xf numFmtId="0" fontId="0" fillId="2" borderId="366" xfId="0" applyFill="1" applyBorder="1" applyAlignment="1">
      <alignment horizontal="left" vertical="top"/>
    </xf>
    <xf numFmtId="164" fontId="0" fillId="2" borderId="372" xfId="0" applyNumberFormat="1" applyFill="1" applyBorder="1" applyAlignment="1">
      <alignment horizontal="left" vertical="top"/>
    </xf>
    <xf numFmtId="164" fontId="0" fillId="2" borderId="373" xfId="0" applyNumberFormat="1" applyFill="1" applyBorder="1" applyAlignment="1">
      <alignment horizontal="left" vertical="top"/>
    </xf>
    <xf numFmtId="0" fontId="0" fillId="0" borderId="286" xfId="0" applyNumberFormat="1" applyBorder="1"/>
    <xf numFmtId="0" fontId="12" fillId="2" borderId="234" xfId="0" applyFont="1" applyFill="1" applyBorder="1" applyAlignment="1">
      <alignment vertical="top" wrapText="1"/>
    </xf>
    <xf numFmtId="0" fontId="12" fillId="2" borderId="213" xfId="0" applyFont="1" applyFill="1" applyBorder="1" applyAlignment="1">
      <alignment vertical="top" wrapText="1"/>
    </xf>
    <xf numFmtId="0" fontId="0" fillId="0" borderId="288" xfId="0" applyNumberFormat="1" applyBorder="1" applyAlignment="1">
      <alignment horizontal="left" vertical="top"/>
    </xf>
    <xf numFmtId="0" fontId="0" fillId="0" borderId="368" xfId="0" applyNumberFormat="1" applyBorder="1" applyAlignment="1">
      <alignment horizontal="left" vertical="top"/>
    </xf>
    <xf numFmtId="0" fontId="0" fillId="0" borderId="232" xfId="0" applyNumberFormat="1" applyBorder="1" applyAlignment="1">
      <alignment horizontal="left" vertical="top"/>
    </xf>
    <xf numFmtId="0" fontId="0" fillId="0" borderId="369" xfId="0" applyNumberFormat="1" applyBorder="1" applyAlignment="1">
      <alignment horizontal="left" vertical="top"/>
    </xf>
    <xf numFmtId="0" fontId="0" fillId="0" borderId="370" xfId="0" applyNumberFormat="1" applyBorder="1" applyAlignment="1">
      <alignment horizontal="left" vertical="top"/>
    </xf>
    <xf numFmtId="0" fontId="0" fillId="2" borderId="371" xfId="0" applyFill="1" applyBorder="1"/>
    <xf numFmtId="0" fontId="0" fillId="2" borderId="363" xfId="0" applyNumberFormat="1" applyFill="1" applyBorder="1"/>
    <xf numFmtId="0" fontId="0" fillId="2" borderId="364" xfId="0" applyNumberFormat="1" applyFill="1" applyBorder="1"/>
    <xf numFmtId="0" fontId="0" fillId="2" borderId="365" xfId="0" applyFill="1" applyBorder="1"/>
    <xf numFmtId="0" fontId="0" fillId="2" borderId="372" xfId="0" applyFill="1" applyBorder="1"/>
    <xf numFmtId="0" fontId="0" fillId="2" borderId="373" xfId="0" applyFill="1" applyBorder="1"/>
    <xf numFmtId="9" fontId="0" fillId="0" borderId="106" xfId="1" applyFont="1" applyBorder="1" applyAlignment="1"/>
    <xf numFmtId="168" fontId="0" fillId="0" borderId="374" xfId="0" applyNumberFormat="1" applyBorder="1"/>
    <xf numFmtId="164" fontId="0" fillId="2" borderId="193" xfId="0" applyNumberFormat="1" applyFill="1" applyBorder="1"/>
    <xf numFmtId="164" fontId="0" fillId="2" borderId="208" xfId="0" applyNumberFormat="1" applyFill="1" applyBorder="1" applyAlignment="1">
      <alignment vertical="center"/>
    </xf>
    <xf numFmtId="164" fontId="3" fillId="13" borderId="375" xfId="0" applyNumberFormat="1" applyFont="1" applyFill="1" applyBorder="1"/>
    <xf numFmtId="164" fontId="0" fillId="2" borderId="190" xfId="0" applyNumberFormat="1" applyFill="1" applyBorder="1"/>
    <xf numFmtId="164" fontId="0" fillId="2" borderId="208" xfId="0" applyNumberFormat="1" applyFill="1" applyBorder="1"/>
    <xf numFmtId="164" fontId="0" fillId="2" borderId="286" xfId="0" applyNumberFormat="1" applyFill="1" applyBorder="1"/>
    <xf numFmtId="164" fontId="0" fillId="2" borderId="181" xfId="0" applyNumberFormat="1" applyFill="1" applyBorder="1"/>
    <xf numFmtId="164" fontId="3" fillId="2" borderId="375" xfId="0" applyNumberFormat="1" applyFont="1" applyFill="1" applyBorder="1"/>
    <xf numFmtId="0" fontId="3" fillId="2" borderId="196" xfId="0" applyFont="1" applyFill="1" applyBorder="1" applyAlignment="1">
      <alignment horizontal="center"/>
    </xf>
    <xf numFmtId="164" fontId="0" fillId="2" borderId="326" xfId="0" applyNumberFormat="1" applyFill="1" applyBorder="1"/>
    <xf numFmtId="164" fontId="3" fillId="13" borderId="376" xfId="0" applyNumberFormat="1" applyFont="1" applyFill="1" applyBorder="1"/>
    <xf numFmtId="164" fontId="0" fillId="2" borderId="377" xfId="0" applyNumberFormat="1" applyFill="1" applyBorder="1"/>
    <xf numFmtId="164" fontId="0" fillId="2" borderId="310" xfId="0" applyNumberFormat="1" applyFill="1" applyBorder="1"/>
    <xf numFmtId="164" fontId="3" fillId="2" borderId="376" xfId="0" applyNumberFormat="1" applyFont="1" applyFill="1" applyBorder="1"/>
    <xf numFmtId="164" fontId="0" fillId="2" borderId="294" xfId="0" applyNumberFormat="1" applyFill="1" applyBorder="1"/>
    <xf numFmtId="164" fontId="0" fillId="2" borderId="294" xfId="0" applyNumberFormat="1" applyFill="1" applyBorder="1" applyAlignment="1">
      <alignment vertical="center"/>
    </xf>
    <xf numFmtId="164" fontId="0" fillId="2" borderId="294" xfId="0" applyNumberFormat="1" applyFill="1" applyBorder="1" applyAlignment="1">
      <alignment horizontal="right" vertical="center"/>
    </xf>
    <xf numFmtId="164" fontId="0" fillId="2" borderId="378" xfId="0" applyNumberFormat="1" applyFill="1" applyBorder="1" applyAlignment="1">
      <alignment vertical="center"/>
    </xf>
    <xf numFmtId="164" fontId="3" fillId="13" borderId="276" xfId="0" applyNumberFormat="1" applyFont="1" applyFill="1" applyBorder="1"/>
    <xf numFmtId="164" fontId="0" fillId="2" borderId="379" xfId="0" applyNumberFormat="1" applyFill="1" applyBorder="1" applyAlignment="1">
      <alignment vertical="center"/>
    </xf>
    <xf numFmtId="164" fontId="0" fillId="2" borderId="294" xfId="0" applyNumberFormat="1" applyFill="1" applyBorder="1" applyAlignment="1">
      <alignment horizontal="left" vertical="center"/>
    </xf>
    <xf numFmtId="164" fontId="0" fillId="2" borderId="378" xfId="0" applyNumberFormat="1" applyFill="1" applyBorder="1" applyAlignment="1">
      <alignment horizontal="left" vertical="center"/>
    </xf>
    <xf numFmtId="164" fontId="0" fillId="2" borderId="292" xfId="0" applyNumberFormat="1" applyFill="1" applyBorder="1" applyAlignment="1">
      <alignment horizontal="left" vertical="center"/>
    </xf>
    <xf numFmtId="164" fontId="0" fillId="2" borderId="289" xfId="0" applyNumberFormat="1" applyFill="1" applyBorder="1" applyAlignment="1">
      <alignment horizontal="left" vertical="center"/>
    </xf>
    <xf numFmtId="164" fontId="3" fillId="2" borderId="276" xfId="0" applyNumberFormat="1" applyFont="1" applyFill="1" applyBorder="1"/>
    <xf numFmtId="49" fontId="3" fillId="2" borderId="380" xfId="0" applyNumberFormat="1" applyFont="1" applyFill="1" applyBorder="1" applyAlignment="1">
      <alignment wrapText="1"/>
    </xf>
    <xf numFmtId="165" fontId="0" fillId="2" borderId="379" xfId="0" applyNumberFormat="1" applyFill="1" applyBorder="1"/>
    <xf numFmtId="165" fontId="0" fillId="2" borderId="227" xfId="0" applyNumberFormat="1" applyFill="1" applyBorder="1"/>
    <xf numFmtId="0" fontId="3" fillId="2" borderId="304" xfId="0" applyNumberFormat="1" applyFont="1" applyFill="1" applyBorder="1" applyAlignment="1">
      <alignment horizontal="center"/>
    </xf>
    <xf numFmtId="0" fontId="3" fillId="2" borderId="344" xfId="0" applyFont="1" applyFill="1" applyBorder="1" applyAlignment="1">
      <alignment horizontal="center"/>
    </xf>
    <xf numFmtId="0" fontId="3" fillId="2" borderId="237" xfId="0" applyNumberFormat="1" applyFont="1" applyFill="1" applyBorder="1" applyAlignment="1">
      <alignment horizontal="center"/>
    </xf>
    <xf numFmtId="0" fontId="3" fillId="2" borderId="381" xfId="0" applyFont="1" applyFill="1" applyBorder="1" applyAlignment="1">
      <alignment horizontal="center"/>
    </xf>
    <xf numFmtId="0" fontId="3" fillId="2" borderId="308" xfId="0" applyNumberFormat="1" applyFont="1" applyFill="1" applyBorder="1" applyAlignment="1">
      <alignment horizontal="center"/>
    </xf>
    <xf numFmtId="164" fontId="12" fillId="2" borderId="184" xfId="0" applyNumberFormat="1" applyFont="1" applyFill="1" applyBorder="1"/>
    <xf numFmtId="49" fontId="12" fillId="2" borderId="178" xfId="0" applyNumberFormat="1" applyFont="1" applyFill="1" applyBorder="1" applyAlignment="1">
      <alignment vertical="center" wrapText="1"/>
    </xf>
    <xf numFmtId="0" fontId="0" fillId="0" borderId="256" xfId="0" applyNumberFormat="1" applyBorder="1" applyAlignment="1">
      <alignment horizontal="left" vertical="top"/>
    </xf>
    <xf numFmtId="0" fontId="0" fillId="0" borderId="106" xfId="0" applyNumberFormat="1" applyBorder="1" applyAlignment="1">
      <alignment horizontal="left" vertical="top"/>
    </xf>
    <xf numFmtId="0" fontId="0" fillId="0" borderId="257" xfId="0" applyNumberFormat="1" applyBorder="1" applyAlignment="1">
      <alignment horizontal="left" vertical="top"/>
    </xf>
    <xf numFmtId="9" fontId="0" fillId="2" borderId="384" xfId="0" applyNumberFormat="1" applyFill="1" applyBorder="1"/>
    <xf numFmtId="9" fontId="0" fillId="2" borderId="385" xfId="0" applyNumberFormat="1" applyFill="1" applyBorder="1"/>
    <xf numFmtId="165" fontId="0" fillId="2" borderId="198" xfId="0" applyNumberFormat="1" applyFill="1" applyBorder="1"/>
    <xf numFmtId="9" fontId="0" fillId="2" borderId="198" xfId="0" applyNumberFormat="1" applyFill="1" applyBorder="1"/>
    <xf numFmtId="49" fontId="32" fillId="0" borderId="238" xfId="0" applyNumberFormat="1" applyFont="1" applyBorder="1" applyAlignment="1">
      <alignment vertical="top" wrapText="1"/>
    </xf>
    <xf numFmtId="3" fontId="0" fillId="0" borderId="238" xfId="0" applyNumberFormat="1" applyBorder="1"/>
    <xf numFmtId="9" fontId="0" fillId="10" borderId="35" xfId="0" applyNumberFormat="1" applyFill="1" applyBorder="1"/>
    <xf numFmtId="9" fontId="0" fillId="10" borderId="36" xfId="0" applyNumberFormat="1" applyFill="1" applyBorder="1"/>
    <xf numFmtId="9" fontId="0" fillId="0" borderId="10" xfId="0" applyNumberFormat="1" applyFill="1" applyBorder="1"/>
    <xf numFmtId="9" fontId="0" fillId="0" borderId="42" xfId="0" applyNumberFormat="1" applyFill="1" applyBorder="1"/>
    <xf numFmtId="9" fontId="0" fillId="10" borderId="10" xfId="0" applyNumberFormat="1" applyFill="1" applyBorder="1"/>
    <xf numFmtId="9" fontId="0" fillId="14" borderId="10" xfId="0" applyNumberFormat="1" applyFill="1" applyBorder="1"/>
    <xf numFmtId="9" fontId="0" fillId="10" borderId="38" xfId="0" applyNumberFormat="1" applyFill="1" applyBorder="1"/>
    <xf numFmtId="9" fontId="0" fillId="10" borderId="36" xfId="0" applyNumberFormat="1" applyFill="1" applyBorder="1" applyAlignment="1">
      <alignment wrapText="1"/>
    </xf>
    <xf numFmtId="9" fontId="0" fillId="10" borderId="112" xfId="0" applyNumberFormat="1" applyFill="1" applyBorder="1"/>
    <xf numFmtId="9" fontId="0" fillId="10" borderId="116" xfId="0" applyNumberFormat="1" applyFill="1" applyBorder="1"/>
    <xf numFmtId="9" fontId="3" fillId="10" borderId="120" xfId="0" applyNumberFormat="1" applyFont="1" applyFill="1" applyBorder="1"/>
    <xf numFmtId="9" fontId="3" fillId="10" borderId="121" xfId="0" applyNumberFormat="1" applyFont="1" applyFill="1" applyBorder="1"/>
    <xf numFmtId="9" fontId="0" fillId="10" borderId="117" xfId="0" applyNumberFormat="1" applyFill="1" applyBorder="1"/>
    <xf numFmtId="9" fontId="0" fillId="10" borderId="118" xfId="0" applyNumberFormat="1" applyFill="1" applyBorder="1"/>
    <xf numFmtId="9" fontId="0" fillId="14" borderId="27" xfId="0" applyNumberFormat="1" applyFill="1" applyBorder="1"/>
    <xf numFmtId="9" fontId="3" fillId="10" borderId="226" xfId="0" applyNumberFormat="1" applyFont="1" applyFill="1" applyBorder="1"/>
    <xf numFmtId="9" fontId="0" fillId="14" borderId="30" xfId="0" applyNumberFormat="1" applyFill="1" applyBorder="1"/>
    <xf numFmtId="9" fontId="0" fillId="14" borderId="34" xfId="0" applyNumberFormat="1" applyFill="1" applyBorder="1"/>
    <xf numFmtId="9" fontId="0" fillId="2" borderId="126" xfId="0" applyNumberFormat="1" applyFill="1" applyBorder="1" applyAlignment="1">
      <alignment wrapText="1"/>
    </xf>
    <xf numFmtId="9" fontId="32" fillId="9" borderId="50" xfId="0" applyNumberFormat="1" applyFont="1" applyFill="1" applyBorder="1"/>
    <xf numFmtId="9" fontId="32" fillId="9" borderId="51" xfId="0" applyNumberFormat="1" applyFont="1" applyFill="1" applyBorder="1"/>
    <xf numFmtId="9" fontId="0" fillId="10" borderId="33" xfId="0" applyNumberFormat="1" applyFill="1" applyBorder="1"/>
    <xf numFmtId="9" fontId="3" fillId="14" borderId="47" xfId="0" applyNumberFormat="1" applyFont="1" applyFill="1" applyBorder="1"/>
    <xf numFmtId="9" fontId="3" fillId="14" borderId="54" xfId="0" applyNumberFormat="1" applyFont="1" applyFill="1" applyBorder="1"/>
    <xf numFmtId="9" fontId="0" fillId="10" borderId="63" xfId="0" applyNumberFormat="1" applyFill="1" applyBorder="1"/>
    <xf numFmtId="9" fontId="0" fillId="10" borderId="85" xfId="0" applyNumberFormat="1" applyFill="1" applyBorder="1"/>
    <xf numFmtId="9" fontId="0" fillId="10" borderId="87" xfId="0" applyNumberFormat="1" applyFill="1" applyBorder="1"/>
    <xf numFmtId="9" fontId="0" fillId="10" borderId="88" xfId="0" applyNumberFormat="1" applyFill="1" applyBorder="1"/>
    <xf numFmtId="9" fontId="0" fillId="0" borderId="39" xfId="0" applyNumberFormat="1" applyFill="1" applyBorder="1"/>
    <xf numFmtId="9" fontId="0" fillId="0" borderId="67" xfId="0" applyNumberFormat="1" applyFill="1" applyBorder="1"/>
    <xf numFmtId="9" fontId="0" fillId="14" borderId="10" xfId="1" applyFont="1" applyFill="1" applyBorder="1" applyAlignment="1"/>
    <xf numFmtId="9" fontId="0" fillId="14" borderId="178" xfId="1" applyFont="1" applyFill="1" applyBorder="1" applyAlignment="1"/>
    <xf numFmtId="9" fontId="0" fillId="10" borderId="10" xfId="1" applyFont="1" applyFill="1" applyBorder="1" applyAlignment="1"/>
    <xf numFmtId="9" fontId="0" fillId="10" borderId="178" xfId="1" applyFont="1" applyFill="1" applyBorder="1" applyAlignment="1"/>
    <xf numFmtId="9" fontId="3" fillId="14" borderId="237" xfId="1" applyFont="1" applyFill="1" applyBorder="1" applyAlignment="1"/>
    <xf numFmtId="9" fontId="0" fillId="0" borderId="33" xfId="0" applyNumberFormat="1" applyFill="1" applyBorder="1"/>
    <xf numFmtId="9" fontId="0" fillId="10" borderId="65" xfId="0" applyNumberFormat="1" applyFill="1" applyBorder="1"/>
    <xf numFmtId="9" fontId="32" fillId="14" borderId="69" xfId="0" applyNumberFormat="1" applyFont="1" applyFill="1" applyBorder="1"/>
    <xf numFmtId="9" fontId="32" fillId="14" borderId="70" xfId="0" applyNumberFormat="1" applyFont="1" applyFill="1" applyBorder="1"/>
    <xf numFmtId="9" fontId="0" fillId="0" borderId="36" xfId="0" applyNumberFormat="1" applyFill="1" applyBorder="1"/>
    <xf numFmtId="9" fontId="0" fillId="0" borderId="90" xfId="0" applyNumberFormat="1" applyFill="1" applyBorder="1"/>
    <xf numFmtId="9" fontId="0" fillId="0" borderId="91" xfId="0" applyNumberFormat="1" applyFill="1" applyBorder="1"/>
    <xf numFmtId="9" fontId="0" fillId="14" borderId="53" xfId="0" applyNumberFormat="1" applyFill="1" applyBorder="1"/>
    <xf numFmtId="9" fontId="0" fillId="10" borderId="50" xfId="0" applyNumberFormat="1" applyFill="1" applyBorder="1"/>
    <xf numFmtId="9" fontId="0" fillId="10" borderId="51" xfId="0" applyNumberFormat="1" applyFill="1" applyBorder="1"/>
    <xf numFmtId="9" fontId="0" fillId="14" borderId="81" xfId="0" applyNumberFormat="1" applyFill="1" applyBorder="1"/>
    <xf numFmtId="9" fontId="0" fillId="14" borderId="42" xfId="0" applyNumberFormat="1" applyFill="1" applyBorder="1"/>
    <xf numFmtId="9" fontId="3" fillId="10" borderId="50" xfId="0" applyNumberFormat="1" applyFont="1" applyFill="1" applyBorder="1"/>
    <xf numFmtId="9" fontId="3" fillId="10" borderId="51" xfId="0" applyNumberFormat="1" applyFont="1" applyFill="1" applyBorder="1"/>
    <xf numFmtId="9" fontId="0" fillId="14" borderId="69" xfId="0" applyNumberFormat="1" applyFill="1" applyBorder="1"/>
    <xf numFmtId="9" fontId="0" fillId="14" borderId="70" xfId="0" applyNumberFormat="1" applyFill="1" applyBorder="1"/>
    <xf numFmtId="9" fontId="0" fillId="0" borderId="63" xfId="0" applyNumberFormat="1" applyFill="1" applyBorder="1"/>
    <xf numFmtId="9" fontId="0" fillId="14" borderId="67" xfId="0" applyNumberFormat="1" applyFill="1" applyBorder="1"/>
    <xf numFmtId="9" fontId="0" fillId="10" borderId="53" xfId="0" applyNumberFormat="1" applyFill="1" applyBorder="1"/>
    <xf numFmtId="9" fontId="0" fillId="0" borderId="25" xfId="0" applyNumberFormat="1" applyFill="1" applyBorder="1"/>
    <xf numFmtId="9" fontId="3" fillId="14" borderId="67" xfId="0" applyNumberFormat="1" applyFont="1" applyFill="1" applyBorder="1"/>
    <xf numFmtId="9" fontId="0" fillId="14" borderId="112" xfId="0" applyNumberFormat="1" applyFill="1" applyBorder="1"/>
    <xf numFmtId="9" fontId="0" fillId="14" borderId="31" xfId="0" applyNumberFormat="1" applyFill="1" applyBorder="1"/>
    <xf numFmtId="9" fontId="4" fillId="10" borderId="91" xfId="0" applyNumberFormat="1" applyFont="1" applyFill="1" applyBorder="1"/>
    <xf numFmtId="9" fontId="4" fillId="10" borderId="92" xfId="0" applyNumberFormat="1" applyFont="1" applyFill="1" applyBorder="1"/>
    <xf numFmtId="9" fontId="3" fillId="10" borderId="131" xfId="0" applyNumberFormat="1" applyFont="1" applyFill="1" applyBorder="1"/>
    <xf numFmtId="9" fontId="3" fillId="10" borderId="92" xfId="0" applyNumberFormat="1" applyFont="1" applyFill="1" applyBorder="1"/>
    <xf numFmtId="9" fontId="4" fillId="10" borderId="115" xfId="0" applyNumberFormat="1" applyFont="1" applyFill="1" applyBorder="1"/>
    <xf numFmtId="9" fontId="0" fillId="10" borderId="66" xfId="0" applyNumberFormat="1" applyFill="1" applyBorder="1"/>
    <xf numFmtId="9" fontId="0" fillId="14" borderId="65" xfId="0" applyNumberFormat="1" applyFill="1" applyBorder="1"/>
    <xf numFmtId="9" fontId="0" fillId="14" borderId="66" xfId="0" applyNumberFormat="1" applyFill="1" applyBorder="1"/>
    <xf numFmtId="9" fontId="0" fillId="10" borderId="31" xfId="0" applyNumberFormat="1" applyFill="1" applyBorder="1"/>
    <xf numFmtId="9" fontId="0" fillId="14" borderId="384" xfId="0" applyNumberFormat="1" applyFill="1" applyBorder="1"/>
    <xf numFmtId="9" fontId="0" fillId="14" borderId="385" xfId="0" applyNumberFormat="1" applyFill="1" applyBorder="1"/>
    <xf numFmtId="9" fontId="0" fillId="10" borderId="132" xfId="0" applyNumberFormat="1" applyFill="1" applyBorder="1"/>
    <xf numFmtId="9" fontId="0" fillId="10" borderId="133" xfId="0" applyNumberFormat="1" applyFill="1" applyBorder="1"/>
    <xf numFmtId="9" fontId="4" fillId="14" borderId="358" xfId="0" applyNumberFormat="1" applyFont="1" applyFill="1" applyBorder="1"/>
    <xf numFmtId="9" fontId="0" fillId="10" borderId="178" xfId="0" applyNumberFormat="1" applyFill="1" applyBorder="1"/>
    <xf numFmtId="9" fontId="0" fillId="0" borderId="27" xfId="0" applyNumberFormat="1" applyFill="1" applyBorder="1"/>
    <xf numFmtId="9" fontId="0" fillId="10" borderId="27" xfId="1" applyFont="1" applyFill="1" applyBorder="1" applyAlignment="1"/>
    <xf numFmtId="9" fontId="0" fillId="10" borderId="189" xfId="1" applyFont="1" applyFill="1" applyBorder="1" applyAlignment="1"/>
    <xf numFmtId="9" fontId="3" fillId="14" borderId="226" xfId="1" applyFont="1" applyFill="1" applyBorder="1" applyAlignment="1"/>
    <xf numFmtId="9" fontId="0" fillId="10" borderId="184" xfId="1" applyFont="1" applyFill="1" applyBorder="1" applyAlignment="1"/>
    <xf numFmtId="9" fontId="0" fillId="14" borderId="189" xfId="1" applyFont="1" applyFill="1" applyBorder="1" applyAlignment="1"/>
    <xf numFmtId="9" fontId="0" fillId="14" borderId="27" xfId="1" applyFont="1" applyFill="1" applyBorder="1" applyAlignment="1"/>
    <xf numFmtId="9" fontId="3" fillId="14" borderId="189" xfId="1" applyFont="1" applyFill="1" applyBorder="1" applyAlignment="1"/>
    <xf numFmtId="164" fontId="0" fillId="2" borderId="203" xfId="0" applyNumberFormat="1" applyFill="1" applyBorder="1" applyAlignment="1">
      <alignment wrapText="1"/>
    </xf>
    <xf numFmtId="164" fontId="0" fillId="2" borderId="364" xfId="1" applyNumberFormat="1" applyFont="1" applyFill="1" applyBorder="1" applyAlignment="1"/>
    <xf numFmtId="0" fontId="0" fillId="2" borderId="140" xfId="0" applyFill="1" applyBorder="1" applyAlignment="1">
      <alignment wrapText="1"/>
    </xf>
    <xf numFmtId="164" fontId="0" fillId="2" borderId="10" xfId="1" applyNumberFormat="1" applyFont="1" applyFill="1" applyBorder="1" applyAlignment="1"/>
    <xf numFmtId="164" fontId="0" fillId="2" borderId="362" xfId="0" applyNumberFormat="1" applyFill="1" applyBorder="1"/>
    <xf numFmtId="164" fontId="0" fillId="2" borderId="383" xfId="0" applyNumberFormat="1" applyFill="1" applyBorder="1" applyAlignment="1">
      <alignment wrapText="1"/>
    </xf>
    <xf numFmtId="0" fontId="0" fillId="2" borderId="210" xfId="0" applyFill="1" applyBorder="1" applyAlignment="1">
      <alignment wrapText="1"/>
    </xf>
    <xf numFmtId="0" fontId="0" fillId="2" borderId="290" xfId="0" applyFill="1" applyBorder="1" applyAlignment="1">
      <alignment wrapText="1"/>
    </xf>
    <xf numFmtId="0" fontId="0" fillId="2" borderId="318" xfId="0" applyFill="1" applyBorder="1" applyAlignment="1">
      <alignment wrapText="1"/>
    </xf>
    <xf numFmtId="10" fontId="0" fillId="2" borderId="238" xfId="0" applyNumberFormat="1" applyFill="1" applyBorder="1" applyAlignment="1">
      <alignment wrapText="1"/>
    </xf>
    <xf numFmtId="9" fontId="0" fillId="2" borderId="36" xfId="0" applyNumberFormat="1" applyFill="1" applyBorder="1" applyAlignment="1">
      <alignment wrapText="1"/>
    </xf>
    <xf numFmtId="0" fontId="0" fillId="0" borderId="0" xfId="0" applyNumberFormat="1" applyAlignment="1">
      <alignment wrapText="1"/>
    </xf>
    <xf numFmtId="0" fontId="0" fillId="2" borderId="178" xfId="0" applyFill="1" applyBorder="1" applyAlignment="1">
      <alignment wrapText="1"/>
    </xf>
    <xf numFmtId="49" fontId="26" fillId="2" borderId="8" xfId="0" applyNumberFormat="1" applyFont="1" applyFill="1" applyBorder="1" applyAlignment="1">
      <alignment horizontal="center" vertical="center" wrapText="1"/>
    </xf>
    <xf numFmtId="49" fontId="2" fillId="2" borderId="196" xfId="0" applyNumberFormat="1" applyFont="1" applyFill="1" applyBorder="1" applyAlignment="1">
      <alignment horizontal="center" vertical="center" wrapText="1"/>
    </xf>
    <xf numFmtId="49" fontId="27" fillId="2" borderId="1" xfId="0" applyNumberFormat="1" applyFont="1" applyFill="1" applyBorder="1" applyAlignment="1">
      <alignment horizontal="center" vertical="center" wrapText="1"/>
    </xf>
    <xf numFmtId="49" fontId="3" fillId="2" borderId="196" xfId="0" applyNumberFormat="1" applyFont="1" applyFill="1" applyBorder="1" applyAlignment="1">
      <alignment horizontal="center" vertical="center" wrapText="1"/>
    </xf>
    <xf numFmtId="49" fontId="0" fillId="2" borderId="138" xfId="0" applyNumberFormat="1" applyFill="1" applyBorder="1" applyAlignment="1">
      <alignment horizontal="left" vertical="top" wrapText="1"/>
    </xf>
    <xf numFmtId="49" fontId="28" fillId="2" borderId="1" xfId="0" applyNumberFormat="1" applyFont="1" applyFill="1" applyBorder="1" applyAlignment="1">
      <alignment horizontal="center" vertical="center" wrapText="1"/>
    </xf>
    <xf numFmtId="49" fontId="0" fillId="2" borderId="231" xfId="0" applyNumberFormat="1" applyFill="1" applyBorder="1" applyAlignment="1">
      <alignment horizontal="center" vertical="top" wrapText="1"/>
    </xf>
    <xf numFmtId="49" fontId="0" fillId="2" borderId="233" xfId="0" applyNumberFormat="1" applyFill="1" applyBorder="1" applyAlignment="1">
      <alignment horizontal="center" vertical="top" wrapText="1"/>
    </xf>
    <xf numFmtId="49" fontId="0" fillId="2" borderId="256" xfId="0" applyNumberFormat="1" applyFill="1" applyBorder="1" applyAlignment="1">
      <alignment horizontal="center" vertical="top" wrapText="1"/>
    </xf>
    <xf numFmtId="49" fontId="0" fillId="2" borderId="257" xfId="0" applyNumberFormat="1" applyFill="1" applyBorder="1" applyAlignment="1">
      <alignment horizontal="center" vertical="top" wrapText="1"/>
    </xf>
    <xf numFmtId="49" fontId="0" fillId="2" borderId="234" xfId="0" applyNumberFormat="1" applyFill="1" applyBorder="1" applyAlignment="1">
      <alignment horizontal="center" vertical="top" wrapText="1"/>
    </xf>
    <xf numFmtId="49" fontId="0" fillId="2" borderId="236" xfId="0" applyNumberFormat="1" applyFill="1" applyBorder="1" applyAlignment="1">
      <alignment horizontal="center" vertical="top" wrapText="1"/>
    </xf>
    <xf numFmtId="49" fontId="0" fillId="2" borderId="232" xfId="0" applyNumberFormat="1" applyFill="1" applyBorder="1" applyAlignment="1">
      <alignment horizontal="center" vertical="top"/>
    </xf>
    <xf numFmtId="49" fontId="0" fillId="2" borderId="233" xfId="0" applyNumberFormat="1" applyFill="1" applyBorder="1" applyAlignment="1">
      <alignment horizontal="center" vertical="top"/>
    </xf>
    <xf numFmtId="49" fontId="0" fillId="2" borderId="256" xfId="0" applyNumberFormat="1" applyFill="1" applyBorder="1" applyAlignment="1">
      <alignment horizontal="center" vertical="top"/>
    </xf>
    <xf numFmtId="49" fontId="0" fillId="2" borderId="106" xfId="0" applyNumberFormat="1" applyFill="1" applyBorder="1" applyAlignment="1">
      <alignment horizontal="center" vertical="top"/>
    </xf>
    <xf numFmtId="49" fontId="0" fillId="2" borderId="257" xfId="0" applyNumberFormat="1" applyFill="1" applyBorder="1" applyAlignment="1">
      <alignment horizontal="center" vertical="top"/>
    </xf>
    <xf numFmtId="49" fontId="0" fillId="2" borderId="234" xfId="0" applyNumberFormat="1" applyFill="1" applyBorder="1" applyAlignment="1">
      <alignment horizontal="center" vertical="top"/>
    </xf>
    <xf numFmtId="49" fontId="0" fillId="2" borderId="235" xfId="0" applyNumberFormat="1" applyFill="1" applyBorder="1" applyAlignment="1">
      <alignment horizontal="center" vertical="top"/>
    </xf>
    <xf numFmtId="49" fontId="0" fillId="2" borderId="236" xfId="0" applyNumberFormat="1" applyFill="1" applyBorder="1" applyAlignment="1">
      <alignment horizontal="center" vertical="top"/>
    </xf>
    <xf numFmtId="49" fontId="26" fillId="2" borderId="1" xfId="0" applyNumberFormat="1" applyFont="1" applyFill="1" applyBorder="1" applyAlignment="1">
      <alignment horizontal="center" vertical="center" wrapText="1"/>
    </xf>
    <xf numFmtId="49" fontId="4" fillId="2" borderId="100" xfId="0" applyNumberFormat="1" applyFont="1" applyFill="1" applyBorder="1" applyAlignment="1">
      <alignment horizontal="center" vertical="center" wrapText="1"/>
    </xf>
    <xf numFmtId="0" fontId="0" fillId="2" borderId="101" xfId="0" applyFill="1" applyBorder="1" applyAlignment="1">
      <alignment horizontal="center" vertical="center" wrapText="1"/>
    </xf>
    <xf numFmtId="0" fontId="0" fillId="2" borderId="102" xfId="0" applyFill="1" applyBorder="1" applyAlignment="1">
      <alignment horizontal="center" vertical="center" wrapText="1"/>
    </xf>
    <xf numFmtId="49" fontId="3" fillId="0" borderId="105" xfId="0" applyNumberFormat="1" applyFont="1" applyBorder="1" applyAlignment="1">
      <alignment horizontal="center" vertical="center" wrapText="1"/>
    </xf>
    <xf numFmtId="0" fontId="0" fillId="3" borderId="106" xfId="0" applyFill="1" applyBorder="1" applyAlignment="1">
      <alignment horizontal="center" vertical="center" wrapText="1"/>
    </xf>
    <xf numFmtId="49" fontId="3" fillId="0" borderId="108" xfId="0" applyNumberFormat="1" applyFont="1" applyBorder="1" applyAlignment="1">
      <alignment horizontal="center" vertical="center" wrapText="1"/>
    </xf>
    <xf numFmtId="49" fontId="0" fillId="3" borderId="109" xfId="0" applyNumberFormat="1" applyFill="1" applyBorder="1" applyAlignment="1">
      <alignment horizontal="center" vertical="center"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12" fillId="2" borderId="213" xfId="0" applyFont="1" applyFill="1" applyBorder="1" applyAlignment="1">
      <alignment horizontal="center" vertical="top" wrapText="1"/>
    </xf>
    <xf numFmtId="0" fontId="12" fillId="2" borderId="214" xfId="0" applyFont="1" applyFill="1" applyBorder="1" applyAlignment="1">
      <alignment horizontal="center" vertical="top" wrapText="1"/>
    </xf>
    <xf numFmtId="0" fontId="12" fillId="2" borderId="232" xfId="0" applyFont="1" applyFill="1" applyBorder="1" applyAlignment="1">
      <alignment horizontal="right" wrapText="1"/>
    </xf>
    <xf numFmtId="0" fontId="12" fillId="2" borderId="231" xfId="0" applyFont="1" applyFill="1" applyBorder="1" applyAlignment="1">
      <alignment horizontal="center" vertical="top" wrapText="1"/>
    </xf>
    <xf numFmtId="0" fontId="12" fillId="2" borderId="232" xfId="0" applyFont="1" applyFill="1" applyBorder="1" applyAlignment="1">
      <alignment horizontal="center" vertical="top" wrapText="1"/>
    </xf>
    <xf numFmtId="0" fontId="12" fillId="2" borderId="233" xfId="0" applyFont="1" applyFill="1" applyBorder="1" applyAlignment="1">
      <alignment horizontal="center" vertical="top" wrapText="1"/>
    </xf>
    <xf numFmtId="49" fontId="29" fillId="0" borderId="141" xfId="0" applyNumberFormat="1" applyFont="1" applyBorder="1" applyAlignment="1">
      <alignment horizontal="center" vertical="center" wrapText="1"/>
    </xf>
    <xf numFmtId="49" fontId="3" fillId="2" borderId="77" xfId="0" applyNumberFormat="1" applyFont="1" applyFill="1" applyBorder="1" applyAlignment="1">
      <alignment horizontal="center"/>
    </xf>
    <xf numFmtId="0" fontId="32" fillId="2" borderId="138" xfId="0" applyFont="1" applyFill="1" applyBorder="1" applyAlignment="1">
      <alignment vertical="top" wrapText="1"/>
    </xf>
    <xf numFmtId="0" fontId="0" fillId="2" borderId="78" xfId="0" applyFill="1" applyBorder="1" applyAlignment="1">
      <alignment vertical="top" wrapText="1"/>
    </xf>
    <xf numFmtId="0" fontId="0" fillId="2" borderId="353" xfId="0" applyFill="1" applyBorder="1" applyAlignment="1">
      <alignment vertical="top" wrapText="1"/>
    </xf>
    <xf numFmtId="0" fontId="0" fillId="2" borderId="140" xfId="0" applyFill="1" applyBorder="1" applyAlignment="1">
      <alignment vertical="top" wrapText="1"/>
    </xf>
    <xf numFmtId="0" fontId="0" fillId="2" borderId="10" xfId="0" applyFill="1" applyBorder="1" applyAlignment="1">
      <alignment vertical="top" wrapText="1"/>
    </xf>
    <xf numFmtId="0" fontId="0" fillId="2" borderId="193" xfId="0" applyFill="1" applyBorder="1" applyAlignment="1">
      <alignment vertical="top" wrapText="1"/>
    </xf>
    <xf numFmtId="0" fontId="0" fillId="2" borderId="139" xfId="0" applyFill="1" applyBorder="1" applyAlignment="1">
      <alignment vertical="top" wrapText="1"/>
    </xf>
    <xf numFmtId="0" fontId="0" fillId="2" borderId="230" xfId="0" applyFill="1" applyBorder="1" applyAlignment="1">
      <alignment vertical="top" wrapText="1"/>
    </xf>
    <xf numFmtId="0" fontId="0" fillId="2" borderId="178" xfId="0" applyFill="1" applyBorder="1" applyAlignment="1">
      <alignment vertical="top" wrapText="1"/>
    </xf>
    <xf numFmtId="0" fontId="0" fillId="2" borderId="277" xfId="0" applyFill="1" applyBorder="1" applyAlignment="1">
      <alignment vertical="top" wrapText="1"/>
    </xf>
    <xf numFmtId="0" fontId="0" fillId="2" borderId="143" xfId="0" applyFill="1" applyBorder="1" applyAlignment="1">
      <alignment vertical="top" wrapText="1"/>
    </xf>
    <xf numFmtId="0" fontId="0" fillId="2" borderId="144" xfId="0" applyFill="1" applyBorder="1" applyAlignment="1">
      <alignment vertical="top" wrapText="1"/>
    </xf>
    <xf numFmtId="0" fontId="0" fillId="2" borderId="145" xfId="0" applyFill="1" applyBorder="1" applyAlignment="1">
      <alignment vertical="top" wrapText="1"/>
    </xf>
    <xf numFmtId="0" fontId="12" fillId="2" borderId="231" xfId="0" applyFont="1" applyFill="1" applyBorder="1" applyAlignment="1">
      <alignment horizontal="left" vertical="top" wrapText="1"/>
    </xf>
    <xf numFmtId="0" fontId="12" fillId="2" borderId="232" xfId="0" applyFont="1" applyFill="1" applyBorder="1" applyAlignment="1">
      <alignment horizontal="left" vertical="top" wrapText="1"/>
    </xf>
    <xf numFmtId="0" fontId="12" fillId="2" borderId="256" xfId="0" applyFont="1" applyFill="1" applyBorder="1" applyAlignment="1">
      <alignment horizontal="left" vertical="top" wrapText="1"/>
    </xf>
    <xf numFmtId="0" fontId="12" fillId="2" borderId="106" xfId="0" applyFont="1" applyFill="1" applyBorder="1" applyAlignment="1">
      <alignment horizontal="left" vertical="top" wrapText="1"/>
    </xf>
    <xf numFmtId="0" fontId="12" fillId="2" borderId="234" xfId="0" applyFont="1" applyFill="1" applyBorder="1" applyAlignment="1">
      <alignment horizontal="left" vertical="top" wrapText="1"/>
    </xf>
    <xf numFmtId="0" fontId="12" fillId="2" borderId="235" xfId="0" applyFont="1" applyFill="1" applyBorder="1" applyAlignment="1">
      <alignment horizontal="left" vertical="top" wrapText="1"/>
    </xf>
    <xf numFmtId="0" fontId="12" fillId="2" borderId="236" xfId="0" applyFont="1" applyFill="1" applyBorder="1" applyAlignment="1">
      <alignment horizontal="left" vertical="top" wrapText="1"/>
    </xf>
    <xf numFmtId="0" fontId="12" fillId="2" borderId="234" xfId="0" applyFont="1" applyFill="1" applyBorder="1" applyAlignment="1">
      <alignment horizontal="center" vertical="top" wrapText="1"/>
    </xf>
    <xf numFmtId="0" fontId="12" fillId="2" borderId="235" xfId="0" applyFont="1" applyFill="1" applyBorder="1" applyAlignment="1">
      <alignment horizontal="center" vertical="top" wrapText="1"/>
    </xf>
    <xf numFmtId="0" fontId="12" fillId="2" borderId="236" xfId="0" applyFont="1" applyFill="1" applyBorder="1" applyAlignment="1">
      <alignment horizontal="center" vertical="top" wrapText="1"/>
    </xf>
    <xf numFmtId="0" fontId="12" fillId="0" borderId="213" xfId="0" applyFont="1" applyFill="1" applyBorder="1" applyAlignment="1">
      <alignment horizontal="center" wrapText="1"/>
    </xf>
    <xf numFmtId="0" fontId="12" fillId="0" borderId="215" xfId="0" applyFont="1" applyFill="1" applyBorder="1" applyAlignment="1">
      <alignment horizontal="center" wrapText="1"/>
    </xf>
    <xf numFmtId="0" fontId="12" fillId="0" borderId="213" xfId="0" applyFont="1" applyFill="1" applyBorder="1" applyAlignment="1">
      <alignment horizontal="center" vertical="top" wrapText="1"/>
    </xf>
    <xf numFmtId="0" fontId="12" fillId="0" borderId="215" xfId="0" applyFont="1" applyFill="1" applyBorder="1" applyAlignment="1">
      <alignment horizontal="center" vertical="top" wrapText="1"/>
    </xf>
    <xf numFmtId="49" fontId="5" fillId="2" borderId="213" xfId="0" applyNumberFormat="1" applyFont="1" applyFill="1" applyBorder="1" applyAlignment="1">
      <alignment horizontal="center" vertical="top" wrapText="1"/>
    </xf>
    <xf numFmtId="49" fontId="5" fillId="2" borderId="214" xfId="0" applyNumberFormat="1" applyFont="1" applyFill="1" applyBorder="1" applyAlignment="1">
      <alignment horizontal="center" vertical="top" wrapText="1"/>
    </xf>
    <xf numFmtId="49" fontId="5" fillId="2" borderId="215" xfId="0" applyNumberFormat="1" applyFont="1" applyFill="1" applyBorder="1" applyAlignment="1">
      <alignment horizontal="center" vertical="top" wrapText="1"/>
    </xf>
    <xf numFmtId="49" fontId="32" fillId="2" borderId="213" xfId="0" applyNumberFormat="1" applyFont="1" applyFill="1" applyBorder="1" applyAlignment="1">
      <alignment horizontal="left" vertical="top" wrapText="1"/>
    </xf>
    <xf numFmtId="49" fontId="9" fillId="2" borderId="214" xfId="0" applyNumberFormat="1" applyFont="1" applyFill="1" applyBorder="1" applyAlignment="1">
      <alignment horizontal="left" vertical="top" wrapText="1"/>
    </xf>
    <xf numFmtId="49" fontId="9" fillId="2" borderId="215" xfId="0" applyNumberFormat="1" applyFont="1" applyFill="1" applyBorder="1" applyAlignment="1">
      <alignment horizontal="left" vertical="top" wrapText="1"/>
    </xf>
    <xf numFmtId="0" fontId="12" fillId="0" borderId="213" xfId="0" applyFont="1" applyFill="1" applyBorder="1" applyAlignment="1">
      <alignment horizontal="left" wrapText="1"/>
    </xf>
    <xf numFmtId="0" fontId="12" fillId="0" borderId="215" xfId="0" applyFont="1" applyFill="1" applyBorder="1" applyAlignment="1">
      <alignment horizontal="left" wrapText="1"/>
    </xf>
    <xf numFmtId="0" fontId="12" fillId="0" borderId="322" xfId="0" applyFont="1" applyFill="1" applyBorder="1" applyAlignment="1">
      <alignment horizontal="left" vertical="top" wrapText="1"/>
    </xf>
    <xf numFmtId="0" fontId="12" fillId="0" borderId="232" xfId="0" applyFont="1" applyFill="1" applyBorder="1" applyAlignment="1">
      <alignment horizontal="left" vertical="top" wrapText="1"/>
    </xf>
    <xf numFmtId="49" fontId="5" fillId="11" borderId="213" xfId="0" applyNumberFormat="1" applyFont="1" applyFill="1" applyBorder="1" applyAlignment="1">
      <alignment horizontal="center" vertical="top" wrapText="1"/>
    </xf>
    <xf numFmtId="49" fontId="5" fillId="11" borderId="214" xfId="0" applyNumberFormat="1" applyFont="1" applyFill="1" applyBorder="1" applyAlignment="1">
      <alignment horizontal="center" vertical="top" wrapText="1"/>
    </xf>
    <xf numFmtId="49" fontId="5" fillId="11" borderId="215" xfId="0" applyNumberFormat="1" applyFont="1" applyFill="1" applyBorder="1" applyAlignment="1">
      <alignment horizontal="center" vertical="top" wrapText="1"/>
    </xf>
    <xf numFmtId="0" fontId="12" fillId="4" borderId="213" xfId="0" applyFont="1" applyFill="1" applyBorder="1" applyAlignment="1">
      <alignment horizontal="center" vertical="top" wrapText="1"/>
    </xf>
    <xf numFmtId="0" fontId="12" fillId="4" borderId="215" xfId="0" applyFont="1" applyFill="1" applyBorder="1" applyAlignment="1">
      <alignment horizontal="center" vertical="top" wrapText="1"/>
    </xf>
    <xf numFmtId="0" fontId="12" fillId="4" borderId="213" xfId="0" applyFont="1" applyFill="1" applyBorder="1" applyAlignment="1">
      <alignment horizontal="center" wrapText="1"/>
    </xf>
    <xf numFmtId="0" fontId="12" fillId="4" borderId="214" xfId="0" applyFont="1" applyFill="1" applyBorder="1" applyAlignment="1">
      <alignment horizontal="center" wrapText="1"/>
    </xf>
    <xf numFmtId="0" fontId="12" fillId="4" borderId="215" xfId="0" applyFont="1" applyFill="1" applyBorder="1" applyAlignment="1">
      <alignment horizontal="center" wrapText="1"/>
    </xf>
    <xf numFmtId="0" fontId="12" fillId="2" borderId="257" xfId="0" applyFont="1" applyFill="1" applyBorder="1" applyAlignment="1">
      <alignment horizontal="left" vertical="top" wrapText="1"/>
    </xf>
    <xf numFmtId="0" fontId="12" fillId="2" borderId="233" xfId="0" applyFont="1" applyFill="1" applyBorder="1" applyAlignment="1">
      <alignment horizontal="left" vertical="top" wrapText="1"/>
    </xf>
    <xf numFmtId="168" fontId="0" fillId="2" borderId="213" xfId="0" applyNumberFormat="1" applyFill="1" applyBorder="1" applyAlignment="1">
      <alignment horizontal="center"/>
    </xf>
    <xf numFmtId="168" fontId="0" fillId="2" borderId="215" xfId="0" applyNumberFormat="1" applyFill="1" applyBorder="1" applyAlignment="1">
      <alignment horizontal="center"/>
    </xf>
    <xf numFmtId="168" fontId="0" fillId="2" borderId="214" xfId="0" applyNumberFormat="1" applyFill="1" applyBorder="1" applyAlignment="1">
      <alignment horizontal="center"/>
    </xf>
    <xf numFmtId="168" fontId="0" fillId="2" borderId="213" xfId="0" applyNumberFormat="1" applyFill="1" applyBorder="1" applyAlignment="1">
      <alignment horizontal="center" wrapText="1"/>
    </xf>
    <xf numFmtId="166" fontId="0" fillId="2" borderId="213" xfId="0" applyNumberFormat="1" applyFill="1" applyBorder="1" applyAlignment="1">
      <alignment horizontal="center"/>
    </xf>
    <xf numFmtId="166" fontId="0" fillId="2" borderId="215" xfId="0" applyNumberFormat="1" applyFill="1" applyBorder="1" applyAlignment="1">
      <alignment horizontal="center"/>
    </xf>
    <xf numFmtId="166" fontId="0" fillId="2" borderId="213" xfId="0" applyNumberFormat="1" applyFill="1" applyBorder="1" applyAlignment="1">
      <alignment horizontal="center" wrapText="1"/>
    </xf>
    <xf numFmtId="166" fontId="0" fillId="2" borderId="214" xfId="0" applyNumberFormat="1" applyFill="1" applyBorder="1" applyAlignment="1">
      <alignment horizontal="center"/>
    </xf>
    <xf numFmtId="9" fontId="12" fillId="2" borderId="232" xfId="1" applyFont="1" applyFill="1" applyBorder="1" applyAlignment="1">
      <alignment horizontal="center" vertical="center" wrapText="1"/>
    </xf>
    <xf numFmtId="9" fontId="12" fillId="2" borderId="235" xfId="1" applyFont="1" applyFill="1" applyBorder="1" applyAlignment="1">
      <alignment horizontal="center" vertical="center" wrapText="1"/>
    </xf>
    <xf numFmtId="9" fontId="12" fillId="2" borderId="233" xfId="1" applyFont="1" applyFill="1" applyBorder="1" applyAlignment="1">
      <alignment horizontal="center" vertical="center" wrapText="1"/>
    </xf>
    <xf numFmtId="9" fontId="12" fillId="2" borderId="236" xfId="1" applyFont="1" applyFill="1" applyBorder="1" applyAlignment="1">
      <alignment horizontal="center" vertical="center" wrapText="1"/>
    </xf>
    <xf numFmtId="2" fontId="0" fillId="2" borderId="251" xfId="0" applyNumberFormat="1" applyFill="1" applyBorder="1" applyAlignment="1">
      <alignment horizontal="center" vertical="center"/>
    </xf>
    <xf numFmtId="2" fontId="0" fillId="2" borderId="290" xfId="0" applyNumberFormat="1" applyFill="1" applyBorder="1" applyAlignment="1">
      <alignment horizontal="center" vertical="center"/>
    </xf>
    <xf numFmtId="2" fontId="0" fillId="2" borderId="231" xfId="0" applyNumberFormat="1" applyFill="1" applyBorder="1" applyAlignment="1">
      <alignment horizontal="center" vertical="center"/>
    </xf>
    <xf numFmtId="2" fontId="0" fillId="2" borderId="234" xfId="0" applyNumberFormat="1" applyFill="1" applyBorder="1" applyAlignment="1">
      <alignment horizontal="center" vertical="center"/>
    </xf>
    <xf numFmtId="0" fontId="0" fillId="2" borderId="251" xfId="0" applyFill="1" applyBorder="1" applyAlignment="1">
      <alignment horizontal="center" wrapText="1"/>
    </xf>
    <xf numFmtId="0" fontId="0" fillId="2" borderId="289" xfId="0" applyFill="1" applyBorder="1" applyAlignment="1">
      <alignment horizontal="center"/>
    </xf>
    <xf numFmtId="0" fontId="0" fillId="2" borderId="290" xfId="0" applyFill="1" applyBorder="1" applyAlignment="1">
      <alignment horizontal="center"/>
    </xf>
    <xf numFmtId="49" fontId="3" fillId="2" borderId="213" xfId="0" applyNumberFormat="1" applyFont="1" applyFill="1" applyBorder="1" applyAlignment="1">
      <alignment horizontal="left" vertical="center" wrapText="1"/>
    </xf>
    <xf numFmtId="49" fontId="3" fillId="2" borderId="232" xfId="0" applyNumberFormat="1" applyFont="1" applyFill="1" applyBorder="1" applyAlignment="1">
      <alignment horizontal="left" vertical="center" wrapText="1"/>
    </xf>
    <xf numFmtId="49" fontId="3" fillId="2" borderId="214" xfId="0" applyNumberFormat="1" applyFont="1" applyFill="1" applyBorder="1" applyAlignment="1">
      <alignment horizontal="left" vertical="center" wrapText="1"/>
    </xf>
    <xf numFmtId="49" fontId="3" fillId="2" borderId="215" xfId="0" applyNumberFormat="1" applyFont="1" applyFill="1" applyBorder="1" applyAlignment="1">
      <alignment horizontal="left" vertical="center" wrapText="1"/>
    </xf>
    <xf numFmtId="167" fontId="0" fillId="2" borderId="251" xfId="0" applyNumberFormat="1" applyFill="1" applyBorder="1" applyAlignment="1">
      <alignment horizontal="center" vertical="center"/>
    </xf>
    <xf numFmtId="167" fontId="0" fillId="2" borderId="289" xfId="0" applyNumberFormat="1" applyFill="1" applyBorder="1" applyAlignment="1">
      <alignment horizontal="center" vertical="center"/>
    </xf>
    <xf numFmtId="167" fontId="0" fillId="2" borderId="290" xfId="0" applyNumberFormat="1" applyFill="1" applyBorder="1" applyAlignment="1">
      <alignment horizontal="center" vertical="center"/>
    </xf>
    <xf numFmtId="167" fontId="0" fillId="2" borderId="251" xfId="0" applyNumberFormat="1" applyFill="1" applyBorder="1" applyAlignment="1">
      <alignment horizontal="center" vertical="center" wrapText="1"/>
    </xf>
    <xf numFmtId="0" fontId="0" fillId="2" borderId="251" xfId="0" applyFill="1" applyBorder="1" applyAlignment="1">
      <alignment horizontal="center"/>
    </xf>
    <xf numFmtId="2" fontId="0" fillId="2" borderId="289" xfId="0" applyNumberFormat="1" applyFill="1" applyBorder="1" applyAlignment="1">
      <alignment horizontal="center" vertical="center"/>
    </xf>
    <xf numFmtId="2" fontId="0" fillId="2" borderId="251" xfId="0" applyNumberFormat="1" applyFill="1" applyBorder="1" applyAlignment="1">
      <alignment horizontal="center" vertical="center" wrapText="1"/>
    </xf>
    <xf numFmtId="49" fontId="3" fillId="2" borderId="231" xfId="0" applyNumberFormat="1" applyFont="1" applyFill="1" applyBorder="1" applyAlignment="1">
      <alignment horizontal="left" vertical="center" wrapText="1"/>
    </xf>
    <xf numFmtId="49" fontId="12" fillId="2" borderId="213" xfId="0" applyNumberFormat="1" applyFont="1" applyFill="1" applyBorder="1" applyAlignment="1">
      <alignment horizontal="left" vertical="center" wrapText="1"/>
    </xf>
    <xf numFmtId="49" fontId="12" fillId="2" borderId="232" xfId="0" applyNumberFormat="1" applyFont="1" applyFill="1" applyBorder="1" applyAlignment="1">
      <alignment horizontal="left" vertical="center" wrapText="1"/>
    </xf>
    <xf numFmtId="49" fontId="12" fillId="2" borderId="214" xfId="0" applyNumberFormat="1" applyFont="1" applyFill="1" applyBorder="1" applyAlignment="1">
      <alignment horizontal="left" vertical="center" wrapText="1"/>
    </xf>
    <xf numFmtId="49" fontId="12" fillId="2" borderId="215" xfId="0" applyNumberFormat="1" applyFont="1" applyFill="1" applyBorder="1" applyAlignment="1">
      <alignment horizontal="left" vertical="center" wrapText="1"/>
    </xf>
    <xf numFmtId="2" fontId="0" fillId="2" borderId="238" xfId="0" applyNumberFormat="1" applyFill="1" applyBorder="1" applyAlignment="1">
      <alignment horizontal="center" vertical="center"/>
    </xf>
    <xf numFmtId="9" fontId="0" fillId="2" borderId="252" xfId="1" applyFont="1" applyFill="1" applyBorder="1" applyAlignment="1">
      <alignment horizontal="center" vertical="center"/>
    </xf>
    <xf numFmtId="9" fontId="0" fillId="2" borderId="287" xfId="1" applyFont="1" applyFill="1" applyBorder="1" applyAlignment="1">
      <alignment horizontal="center" vertical="center"/>
    </xf>
    <xf numFmtId="2" fontId="0" fillId="2" borderId="252" xfId="0" applyNumberFormat="1" applyFill="1" applyBorder="1" applyAlignment="1">
      <alignment horizontal="center" vertical="center"/>
    </xf>
    <xf numFmtId="2" fontId="0" fillId="2" borderId="287" xfId="0" applyNumberFormat="1" applyFill="1" applyBorder="1" applyAlignment="1">
      <alignment horizontal="center" vertical="center"/>
    </xf>
    <xf numFmtId="2" fontId="0" fillId="2" borderId="254" xfId="0" applyNumberFormat="1" applyFill="1" applyBorder="1" applyAlignment="1">
      <alignment horizontal="center" vertical="center"/>
    </xf>
    <xf numFmtId="2" fontId="0" fillId="2" borderId="255" xfId="0" applyNumberFormat="1" applyFill="1" applyBorder="1" applyAlignment="1">
      <alignment horizontal="center" vertical="center"/>
    </xf>
    <xf numFmtId="49" fontId="3" fillId="2" borderId="233" xfId="0" applyNumberFormat="1" applyFont="1" applyFill="1" applyBorder="1" applyAlignment="1">
      <alignment horizontal="left" vertical="center" wrapText="1"/>
    </xf>
    <xf numFmtId="49" fontId="3" fillId="2" borderId="106" xfId="0" applyNumberFormat="1" applyFont="1" applyFill="1" applyBorder="1" applyAlignment="1">
      <alignment horizontal="left" vertical="center" wrapText="1"/>
    </xf>
    <xf numFmtId="49" fontId="3" fillId="2" borderId="257" xfId="0" applyNumberFormat="1" applyFont="1" applyFill="1" applyBorder="1" applyAlignment="1">
      <alignment horizontal="left" vertical="center" wrapText="1"/>
    </xf>
    <xf numFmtId="167" fontId="0" fillId="2" borderId="185" xfId="0" applyNumberFormat="1" applyFill="1" applyBorder="1" applyAlignment="1">
      <alignment horizontal="center" vertical="center"/>
    </xf>
    <xf numFmtId="173" fontId="0" fillId="2" borderId="98" xfId="0" applyNumberFormat="1" applyFill="1" applyBorder="1" applyAlignment="1">
      <alignment horizontal="center" vertical="center"/>
    </xf>
    <xf numFmtId="174" fontId="0" fillId="2" borderId="185" xfId="0" applyNumberFormat="1" applyFill="1" applyBorder="1" applyAlignment="1">
      <alignment horizontal="center" vertical="center"/>
    </xf>
    <xf numFmtId="2" fontId="0" fillId="2" borderId="179" xfId="0" applyNumberFormat="1" applyFill="1" applyBorder="1" applyAlignment="1">
      <alignment horizontal="center" vertical="center"/>
    </xf>
    <xf numFmtId="174" fontId="0" fillId="2" borderId="190" xfId="0" applyNumberFormat="1" applyFill="1" applyBorder="1" applyAlignment="1">
      <alignment horizontal="center" vertical="center"/>
    </xf>
    <xf numFmtId="2" fontId="0" fillId="2" borderId="208" xfId="0" applyNumberFormat="1" applyFill="1" applyBorder="1" applyAlignment="1">
      <alignment horizontal="center" vertical="center"/>
    </xf>
    <xf numFmtId="167" fontId="0" fillId="2" borderId="190" xfId="0" applyNumberFormat="1" applyFill="1" applyBorder="1" applyAlignment="1">
      <alignment horizontal="center" vertical="center"/>
    </xf>
    <xf numFmtId="173" fontId="0" fillId="2" borderId="193" xfId="0" applyNumberFormat="1" applyFill="1" applyBorder="1" applyAlignment="1">
      <alignment horizontal="center" vertical="center"/>
    </xf>
    <xf numFmtId="2" fontId="0" fillId="2" borderId="286" xfId="0" applyNumberFormat="1" applyFill="1" applyBorder="1" applyAlignment="1">
      <alignment horizontal="center" vertical="center"/>
    </xf>
    <xf numFmtId="4" fontId="0" fillId="2" borderId="382" xfId="0" applyNumberFormat="1" applyFill="1" applyBorder="1" applyAlignment="1">
      <alignment horizontal="center" wrapText="1"/>
    </xf>
    <xf numFmtId="4" fontId="0" fillId="2" borderId="183" xfId="0" applyNumberFormat="1" applyFill="1" applyBorder="1" applyAlignment="1">
      <alignment horizontal="center"/>
    </xf>
    <xf numFmtId="4" fontId="0" fillId="2" borderId="222" xfId="0" applyNumberFormat="1" applyFill="1" applyBorder="1" applyAlignment="1">
      <alignment horizontal="center"/>
    </xf>
    <xf numFmtId="4" fontId="0" fillId="2" borderId="335" xfId="0" applyNumberFormat="1" applyFill="1" applyBorder="1" applyAlignment="1">
      <alignment horizontal="center"/>
    </xf>
    <xf numFmtId="4" fontId="0" fillId="2" borderId="322" xfId="0" applyNumberFormat="1" applyFill="1" applyBorder="1" applyAlignment="1">
      <alignment horizontal="center" wrapText="1"/>
    </xf>
    <xf numFmtId="4" fontId="0" fillId="2" borderId="338" xfId="0" applyNumberFormat="1" applyFill="1" applyBorder="1" applyAlignment="1">
      <alignment horizontal="center"/>
    </xf>
    <xf numFmtId="49" fontId="3" fillId="2" borderId="213" xfId="0" applyNumberFormat="1" applyFont="1" applyFill="1" applyBorder="1" applyAlignment="1">
      <alignment horizontal="left" wrapText="1"/>
    </xf>
    <xf numFmtId="49" fontId="3" fillId="2" borderId="214" xfId="0" applyNumberFormat="1" applyFont="1" applyFill="1" applyBorder="1" applyAlignment="1">
      <alignment horizontal="left" wrapText="1"/>
    </xf>
    <xf numFmtId="49" fontId="3" fillId="2" borderId="213" xfId="0" applyNumberFormat="1" applyFont="1" applyFill="1" applyBorder="1" applyAlignment="1">
      <alignment horizontal="left"/>
    </xf>
    <xf numFmtId="49" fontId="3" fillId="2" borderId="214" xfId="0" applyNumberFormat="1" applyFont="1" applyFill="1" applyBorder="1" applyAlignment="1">
      <alignment horizontal="left"/>
    </xf>
    <xf numFmtId="49" fontId="3" fillId="2" borderId="215" xfId="0" applyNumberFormat="1" applyFont="1" applyFill="1" applyBorder="1" applyAlignment="1">
      <alignment horizontal="left"/>
    </xf>
    <xf numFmtId="0" fontId="12" fillId="2" borderId="213" xfId="0" applyFont="1" applyFill="1" applyBorder="1" applyAlignment="1">
      <alignment horizontal="left" vertical="top" wrapText="1"/>
    </xf>
    <xf numFmtId="0" fontId="12" fillId="2" borderId="214" xfId="0" applyFont="1" applyFill="1" applyBorder="1" applyAlignment="1">
      <alignment horizontal="left" vertical="top" wrapText="1"/>
    </xf>
    <xf numFmtId="0" fontId="12" fillId="2" borderId="215" xfId="0" applyFont="1" applyFill="1" applyBorder="1" applyAlignment="1">
      <alignment horizontal="left" vertical="top" wrapText="1"/>
    </xf>
    <xf numFmtId="4" fontId="0" fillId="2" borderId="154" xfId="0" applyNumberFormat="1" applyFill="1" applyBorder="1" applyAlignment="1">
      <alignment horizontal="center" wrapText="1"/>
    </xf>
    <xf numFmtId="4" fontId="0" fillId="2" borderId="210" xfId="0" applyNumberFormat="1" applyFill="1" applyBorder="1" applyAlignment="1">
      <alignment horizontal="center"/>
    </xf>
    <xf numFmtId="49" fontId="3" fillId="2" borderId="213" xfId="0" applyNumberFormat="1" applyFont="1" applyFill="1" applyBorder="1" applyAlignment="1">
      <alignment horizontal="center" vertical="top" wrapText="1"/>
    </xf>
    <xf numFmtId="49" fontId="3" fillId="2" borderId="214" xfId="0" applyNumberFormat="1" applyFont="1" applyFill="1" applyBorder="1" applyAlignment="1">
      <alignment horizontal="center" vertical="top" wrapText="1"/>
    </xf>
    <xf numFmtId="49" fontId="3" fillId="2" borderId="215" xfId="0" applyNumberFormat="1" applyFont="1" applyFill="1" applyBorder="1" applyAlignment="1">
      <alignment horizontal="center" vertical="top" wrapText="1"/>
    </xf>
    <xf numFmtId="49" fontId="3" fillId="2" borderId="213" xfId="0" applyNumberFormat="1" applyFont="1" applyFill="1" applyBorder="1" applyAlignment="1">
      <alignment horizontal="left" vertical="center"/>
    </xf>
    <xf numFmtId="49" fontId="3" fillId="2" borderId="214" xfId="0" applyNumberFormat="1" applyFont="1" applyFill="1" applyBorder="1" applyAlignment="1">
      <alignment horizontal="left" vertical="center"/>
    </xf>
    <xf numFmtId="49" fontId="3" fillId="2" borderId="215" xfId="0" applyNumberFormat="1" applyFont="1" applyFill="1" applyBorder="1" applyAlignment="1">
      <alignment horizontal="left" vertical="center"/>
    </xf>
    <xf numFmtId="3" fontId="0" fillId="2" borderId="190" xfId="0" applyNumberFormat="1" applyFill="1" applyBorder="1" applyAlignment="1">
      <alignment horizontal="center" vertical="center"/>
    </xf>
    <xf numFmtId="172" fontId="0" fillId="2" borderId="193" xfId="0" applyNumberFormat="1" applyFill="1" applyBorder="1" applyAlignment="1">
      <alignment horizontal="center" vertical="center"/>
    </xf>
    <xf numFmtId="0" fontId="0" fillId="2" borderId="238" xfId="0" applyFill="1" applyBorder="1" applyAlignment="1">
      <alignment horizontal="center" wrapText="1"/>
    </xf>
    <xf numFmtId="0" fontId="0" fillId="2" borderId="286" xfId="0" applyFill="1" applyBorder="1" applyAlignment="1">
      <alignment horizontal="center" wrapText="1"/>
    </xf>
    <xf numFmtId="0" fontId="0" fillId="2" borderId="181" xfId="0" applyFill="1" applyBorder="1" applyAlignment="1">
      <alignment horizontal="center"/>
    </xf>
    <xf numFmtId="0" fontId="0" fillId="2" borderId="316" xfId="0" applyFill="1" applyBorder="1" applyAlignment="1">
      <alignment horizontal="center"/>
    </xf>
    <xf numFmtId="0" fontId="0" fillId="2" borderId="327" xfId="0" applyFill="1" applyBorder="1" applyAlignment="1">
      <alignment horizontal="center"/>
    </xf>
    <xf numFmtId="0" fontId="0" fillId="2" borderId="317" xfId="0" applyFill="1" applyBorder="1" applyAlignment="1">
      <alignment horizontal="center"/>
    </xf>
    <xf numFmtId="171" fontId="0" fillId="2" borderId="185" xfId="0" applyNumberFormat="1" applyFill="1" applyBorder="1" applyAlignment="1">
      <alignment horizontal="center" vertical="center"/>
    </xf>
    <xf numFmtId="10" fontId="0" fillId="2" borderId="98" xfId="0" applyNumberFormat="1" applyFill="1" applyBorder="1" applyAlignment="1">
      <alignment horizontal="center" vertical="center"/>
    </xf>
    <xf numFmtId="171" fontId="0" fillId="2" borderId="186" xfId="0" applyNumberFormat="1" applyFill="1" applyBorder="1" applyAlignment="1">
      <alignment horizontal="center" vertical="center"/>
    </xf>
    <xf numFmtId="10" fontId="0" fillId="2" borderId="99" xfId="0" applyNumberFormat="1" applyFill="1" applyBorder="1" applyAlignment="1">
      <alignment horizontal="center" vertical="center"/>
    </xf>
    <xf numFmtId="9" fontId="0" fillId="2" borderId="288" xfId="1" applyFont="1" applyFill="1" applyBorder="1" applyAlignment="1">
      <alignment horizontal="center"/>
    </xf>
    <xf numFmtId="9" fontId="0" fillId="2" borderId="287" xfId="1" applyFont="1" applyFill="1" applyBorder="1" applyAlignment="1">
      <alignment horizontal="center"/>
    </xf>
    <xf numFmtId="170" fontId="0" fillId="2" borderId="185" xfId="0" applyNumberFormat="1" applyFill="1" applyBorder="1" applyAlignment="1">
      <alignment horizontal="center" vertical="center" wrapText="1"/>
    </xf>
    <xf numFmtId="4" fontId="0" fillId="2" borderId="98" xfId="0" applyNumberFormat="1" applyFill="1" applyBorder="1" applyAlignment="1">
      <alignment horizontal="center" vertical="center" wrapText="1"/>
    </xf>
    <xf numFmtId="170" fontId="0" fillId="2" borderId="185" xfId="0" applyNumberFormat="1" applyFill="1" applyBorder="1" applyAlignment="1">
      <alignment horizontal="center" vertical="center"/>
    </xf>
    <xf numFmtId="4" fontId="0" fillId="2" borderId="98" xfId="0" applyNumberFormat="1" applyFill="1" applyBorder="1" applyAlignment="1">
      <alignment horizontal="center" vertical="center"/>
    </xf>
    <xf numFmtId="170" fontId="0" fillId="2" borderId="332" xfId="0" applyNumberFormat="1" applyFill="1" applyBorder="1" applyAlignment="1">
      <alignment horizontal="center" vertical="center" wrapText="1"/>
    </xf>
    <xf numFmtId="0" fontId="0" fillId="2" borderId="179" xfId="0" applyFill="1" applyBorder="1" applyAlignment="1">
      <alignment horizontal="center" vertical="center" wrapText="1"/>
    </xf>
    <xf numFmtId="170" fontId="0" fillId="2" borderId="190" xfId="0" applyNumberFormat="1" applyFill="1" applyBorder="1" applyAlignment="1">
      <alignment horizontal="center" vertical="center"/>
    </xf>
    <xf numFmtId="4" fontId="0" fillId="2" borderId="208" xfId="0" applyNumberFormat="1" applyFill="1" applyBorder="1" applyAlignment="1">
      <alignment horizontal="center" vertical="center"/>
    </xf>
    <xf numFmtId="0" fontId="3" fillId="4" borderId="218" xfId="0" applyNumberFormat="1" applyFont="1" applyFill="1" applyBorder="1" applyAlignment="1">
      <alignment horizontal="center"/>
    </xf>
    <xf numFmtId="4" fontId="0" fillId="2" borderId="179" xfId="0" applyNumberFormat="1" applyFill="1" applyBorder="1" applyAlignment="1">
      <alignment horizontal="center" vertical="center" wrapText="1"/>
    </xf>
    <xf numFmtId="4" fontId="0" fillId="2" borderId="10" xfId="0" applyNumberFormat="1" applyFill="1" applyBorder="1" applyAlignment="1">
      <alignment horizontal="center" vertical="center"/>
    </xf>
    <xf numFmtId="0" fontId="0" fillId="2" borderId="200" xfId="0" applyFill="1" applyBorder="1" applyAlignment="1">
      <alignment wrapText="1"/>
    </xf>
    <xf numFmtId="0" fontId="12" fillId="4" borderId="154" xfId="0" applyFont="1" applyFill="1" applyBorder="1" applyAlignment="1">
      <alignment wrapText="1"/>
    </xf>
    <xf numFmtId="0" fontId="0" fillId="4" borderId="183" xfId="0" applyFill="1" applyBorder="1" applyAlignment="1">
      <alignment wrapText="1"/>
    </xf>
    <xf numFmtId="4" fontId="0" fillId="2" borderId="182" xfId="0" applyNumberFormat="1" applyFill="1" applyBorder="1" applyAlignment="1">
      <alignment wrapText="1"/>
    </xf>
    <xf numFmtId="1" fontId="0" fillId="2" borderId="251" xfId="0" applyNumberFormat="1" applyFill="1" applyBorder="1" applyAlignment="1">
      <alignment horizontal="center" vertical="center"/>
    </xf>
    <xf numFmtId="1" fontId="0" fillId="2" borderId="289" xfId="0" applyNumberFormat="1" applyFill="1" applyBorder="1" applyAlignment="1">
      <alignment horizontal="center" vertical="center"/>
    </xf>
    <xf numFmtId="1" fontId="0" fillId="2" borderId="290" xfId="0" applyNumberFormat="1" applyFill="1" applyBorder="1" applyAlignment="1">
      <alignment horizontal="center" vertical="center"/>
    </xf>
    <xf numFmtId="49" fontId="11" fillId="11" borderId="213" xfId="0" applyNumberFormat="1" applyFont="1" applyFill="1" applyBorder="1" applyAlignment="1">
      <alignment horizontal="center"/>
    </xf>
    <xf numFmtId="49" fontId="11" fillId="11" borderId="214" xfId="0" applyNumberFormat="1" applyFont="1" applyFill="1" applyBorder="1" applyAlignment="1">
      <alignment horizontal="center"/>
    </xf>
    <xf numFmtId="49" fontId="11" fillId="11" borderId="215" xfId="0" applyNumberFormat="1" applyFont="1" applyFill="1" applyBorder="1" applyAlignment="1">
      <alignment horizontal="center"/>
    </xf>
    <xf numFmtId="49" fontId="10" fillId="11" borderId="213" xfId="0" applyNumberFormat="1" applyFont="1" applyFill="1" applyBorder="1" applyAlignment="1">
      <alignment horizontal="center"/>
    </xf>
    <xf numFmtId="49" fontId="10" fillId="11" borderId="214" xfId="0" applyNumberFormat="1" applyFont="1" applyFill="1" applyBorder="1" applyAlignment="1">
      <alignment horizontal="center"/>
    </xf>
    <xf numFmtId="49" fontId="10" fillId="11" borderId="215" xfId="0" applyNumberFormat="1" applyFont="1" applyFill="1" applyBorder="1" applyAlignment="1">
      <alignment horizontal="center"/>
    </xf>
    <xf numFmtId="49" fontId="11" fillId="11" borderId="213" xfId="0" applyNumberFormat="1" applyFont="1" applyFill="1" applyBorder="1" applyAlignment="1">
      <alignment horizontal="center" vertical="top"/>
    </xf>
    <xf numFmtId="49" fontId="11" fillId="11" borderId="214" xfId="0" applyNumberFormat="1" applyFont="1" applyFill="1" applyBorder="1" applyAlignment="1">
      <alignment horizontal="center" vertical="top"/>
    </xf>
    <xf numFmtId="49" fontId="11" fillId="11" borderId="215" xfId="0" applyNumberFormat="1" applyFont="1" applyFill="1" applyBorder="1" applyAlignment="1">
      <alignment horizontal="center" vertical="top"/>
    </xf>
    <xf numFmtId="49" fontId="11" fillId="11" borderId="234" xfId="0" applyNumberFormat="1" applyFont="1" applyFill="1" applyBorder="1" applyAlignment="1">
      <alignment horizontal="center"/>
    </xf>
    <xf numFmtId="49" fontId="11" fillId="11" borderId="235" xfId="0" applyNumberFormat="1" applyFont="1" applyFill="1" applyBorder="1" applyAlignment="1">
      <alignment horizontal="center"/>
    </xf>
    <xf numFmtId="49" fontId="0" fillId="11" borderId="213" xfId="0" applyNumberFormat="1" applyFill="1" applyBorder="1" applyAlignment="1">
      <alignment horizontal="center"/>
    </xf>
    <xf numFmtId="49" fontId="0" fillId="11" borderId="214" xfId="0" applyNumberFormat="1" applyFill="1" applyBorder="1" applyAlignment="1">
      <alignment horizontal="center"/>
    </xf>
    <xf numFmtId="49" fontId="0" fillId="11" borderId="215" xfId="0" applyNumberFormat="1" applyFill="1" applyBorder="1" applyAlignment="1">
      <alignment horizontal="center"/>
    </xf>
    <xf numFmtId="0" fontId="12" fillId="4" borderId="154" xfId="0" applyFont="1" applyFill="1" applyBorder="1" applyAlignment="1">
      <alignment vertical="top" wrapText="1"/>
    </xf>
    <xf numFmtId="0" fontId="12" fillId="4" borderId="183" xfId="0" applyFont="1" applyFill="1" applyBorder="1" applyAlignment="1">
      <alignment vertical="top" wrapText="1"/>
    </xf>
    <xf numFmtId="0" fontId="12" fillId="4" borderId="222" xfId="0" applyFont="1" applyFill="1" applyBorder="1" applyAlignment="1">
      <alignment vertical="top" wrapText="1"/>
    </xf>
    <xf numFmtId="49" fontId="5" fillId="2" borderId="45" xfId="0" applyNumberFormat="1" applyFont="1" applyFill="1" applyBorder="1" applyAlignment="1">
      <alignment horizontal="center" vertical="top" wrapText="1"/>
    </xf>
    <xf numFmtId="0" fontId="0" fillId="4" borderId="45" xfId="0" applyFill="1" applyBorder="1" applyAlignment="1">
      <alignment vertical="top"/>
    </xf>
    <xf numFmtId="0" fontId="0" fillId="4" borderId="218" xfId="0" applyFill="1" applyBorder="1" applyAlignment="1">
      <alignment vertical="top"/>
    </xf>
    <xf numFmtId="0" fontId="5" fillId="4" borderId="281" xfId="0" applyFont="1" applyFill="1" applyBorder="1" applyAlignment="1">
      <alignment horizontal="center"/>
    </xf>
    <xf numFmtId="0" fontId="5" fillId="4" borderId="282" xfId="0" applyFont="1" applyFill="1" applyBorder="1" applyAlignment="1">
      <alignment horizontal="center"/>
    </xf>
    <xf numFmtId="0" fontId="5" fillId="4" borderId="283" xfId="0" applyFont="1" applyFill="1" applyBorder="1" applyAlignment="1">
      <alignment horizontal="center"/>
    </xf>
    <xf numFmtId="0" fontId="3" fillId="5" borderId="336" xfId="0" applyNumberFormat="1" applyFont="1" applyFill="1" applyBorder="1" applyAlignment="1">
      <alignment horizontal="center"/>
    </xf>
    <xf numFmtId="1" fontId="0" fillId="2" borderId="185" xfId="0" applyNumberFormat="1" applyFill="1" applyBorder="1" applyAlignment="1">
      <alignment horizontal="center" vertical="center"/>
    </xf>
    <xf numFmtId="2" fontId="0" fillId="2" borderId="111" xfId="0" applyNumberFormat="1" applyFill="1" applyBorder="1" applyAlignment="1">
      <alignment horizontal="center" vertical="center"/>
    </xf>
    <xf numFmtId="49" fontId="5" fillId="2" borderId="250" xfId="0" applyNumberFormat="1" applyFont="1" applyFill="1" applyBorder="1" applyAlignment="1">
      <alignment horizontal="left"/>
    </xf>
    <xf numFmtId="49" fontId="5" fillId="2" borderId="272" xfId="0" applyNumberFormat="1" applyFont="1" applyFill="1" applyBorder="1" applyAlignment="1">
      <alignment horizontal="left"/>
    </xf>
    <xf numFmtId="49" fontId="5" fillId="2" borderId="202" xfId="0" applyNumberFormat="1" applyFont="1" applyFill="1" applyBorder="1" applyAlignment="1">
      <alignment horizontal="left"/>
    </xf>
    <xf numFmtId="0" fontId="0" fillId="2" borderId="289" xfId="0" applyFill="1" applyBorder="1" applyAlignment="1">
      <alignment horizontal="center" wrapText="1"/>
    </xf>
    <xf numFmtId="0" fontId="0" fillId="2" borderId="290" xfId="0" applyFill="1" applyBorder="1" applyAlignment="1">
      <alignment horizontal="center" wrapText="1"/>
    </xf>
    <xf numFmtId="171" fontId="0" fillId="2" borderId="10" xfId="0" applyNumberFormat="1" applyFill="1" applyBorder="1" applyAlignment="1">
      <alignment horizontal="center" vertical="center"/>
    </xf>
    <xf numFmtId="2" fontId="0" fillId="2" borderId="98" xfId="0" applyNumberFormat="1" applyFill="1" applyBorder="1" applyAlignment="1">
      <alignment horizontal="center" vertical="center"/>
    </xf>
    <xf numFmtId="171" fontId="0" fillId="2" borderId="98" xfId="0" applyNumberFormat="1" applyFill="1" applyBorder="1" applyAlignment="1">
      <alignment horizontal="center" vertical="center"/>
    </xf>
    <xf numFmtId="49" fontId="32" fillId="2" borderId="286" xfId="0" applyNumberFormat="1" applyFont="1" applyFill="1" applyBorder="1" applyAlignment="1">
      <alignment horizontal="center" wrapText="1"/>
    </xf>
    <xf numFmtId="49" fontId="12" fillId="2" borderId="248" xfId="0" applyNumberFormat="1" applyFont="1" applyFill="1" applyBorder="1" applyAlignment="1">
      <alignment horizontal="center" wrapText="1"/>
    </xf>
    <xf numFmtId="49" fontId="12" fillId="2" borderId="246" xfId="0" applyNumberFormat="1" applyFont="1" applyFill="1" applyBorder="1" applyAlignment="1">
      <alignment horizontal="center" wrapText="1"/>
    </xf>
    <xf numFmtId="49" fontId="12" fillId="2" borderId="314" xfId="0" applyNumberFormat="1" applyFont="1" applyFill="1" applyBorder="1" applyAlignment="1">
      <alignment horizontal="center" wrapText="1"/>
    </xf>
    <xf numFmtId="0" fontId="0" fillId="2" borderId="200" xfId="0" applyFill="1" applyBorder="1" applyAlignment="1">
      <alignment horizontal="center" vertical="center" wrapText="1"/>
    </xf>
    <xf numFmtId="49" fontId="3" fillId="2" borderId="213" xfId="0" applyNumberFormat="1" applyFont="1" applyFill="1" applyBorder="1" applyAlignment="1">
      <alignment horizontal="center"/>
    </xf>
    <xf numFmtId="49" fontId="3" fillId="2" borderId="214" xfId="0" applyNumberFormat="1" applyFont="1" applyFill="1" applyBorder="1" applyAlignment="1">
      <alignment horizontal="center"/>
    </xf>
    <xf numFmtId="49" fontId="3" fillId="2" borderId="215" xfId="0" applyNumberFormat="1" applyFont="1" applyFill="1" applyBorder="1" applyAlignment="1">
      <alignment horizontal="center"/>
    </xf>
    <xf numFmtId="171" fontId="0" fillId="2" borderId="251" xfId="0" applyNumberFormat="1" applyFill="1" applyBorder="1" applyAlignment="1">
      <alignment horizontal="center"/>
    </xf>
    <xf numFmtId="171" fontId="0" fillId="2" borderId="289" xfId="0" applyNumberFormat="1" applyFill="1" applyBorder="1" applyAlignment="1">
      <alignment horizontal="center"/>
    </xf>
    <xf numFmtId="171" fontId="0" fillId="2" borderId="290" xfId="0" applyNumberFormat="1" applyFill="1" applyBorder="1" applyAlignment="1">
      <alignment horizontal="center"/>
    </xf>
    <xf numFmtId="171" fontId="0" fillId="2" borderId="251" xfId="0" applyNumberFormat="1" applyFill="1" applyBorder="1" applyAlignment="1">
      <alignment horizontal="center" wrapText="1"/>
    </xf>
    <xf numFmtId="9" fontId="0" fillId="2" borderId="319" xfId="1" applyFont="1" applyFill="1" applyBorder="1" applyAlignment="1">
      <alignment horizontal="center"/>
    </xf>
    <xf numFmtId="9" fontId="0" fillId="2" borderId="255" xfId="1" applyFont="1" applyFill="1" applyBorder="1" applyAlignment="1">
      <alignment horizontal="center"/>
    </xf>
    <xf numFmtId="49" fontId="3" fillId="2" borderId="215" xfId="0" applyNumberFormat="1" applyFont="1" applyFill="1" applyBorder="1" applyAlignment="1">
      <alignment horizontal="left" wrapText="1"/>
    </xf>
    <xf numFmtId="0" fontId="0" fillId="2" borderId="186" xfId="0" applyFill="1" applyBorder="1" applyAlignment="1">
      <alignment wrapText="1"/>
    </xf>
    <xf numFmtId="0" fontId="0" fillId="2" borderId="257" xfId="0" applyFill="1" applyBorder="1" applyAlignment="1">
      <alignment horizontal="center"/>
    </xf>
    <xf numFmtId="0" fontId="0" fillId="2" borderId="236" xfId="0" applyFill="1" applyBorder="1" applyAlignment="1">
      <alignment horizontal="center"/>
    </xf>
    <xf numFmtId="4" fontId="0" fillId="2" borderId="251" xfId="0" applyNumberFormat="1" applyFill="1" applyBorder="1" applyAlignment="1">
      <alignment horizontal="center" wrapText="1"/>
    </xf>
    <xf numFmtId="4" fontId="0" fillId="2" borderId="289" xfId="0" applyNumberFormat="1" applyFill="1" applyBorder="1" applyAlignment="1">
      <alignment horizontal="center"/>
    </xf>
    <xf numFmtId="4" fontId="0" fillId="2" borderId="290" xfId="0" applyNumberFormat="1" applyFill="1" applyBorder="1" applyAlignment="1">
      <alignment horizontal="center"/>
    </xf>
    <xf numFmtId="4" fontId="0" fillId="2" borderId="251" xfId="0" applyNumberFormat="1" applyFill="1" applyBorder="1" applyAlignment="1">
      <alignment horizontal="center"/>
    </xf>
    <xf numFmtId="1" fontId="0" fillId="2" borderId="251" xfId="0" applyNumberFormat="1" applyFill="1" applyBorder="1" applyAlignment="1">
      <alignment horizontal="center" vertical="center" wrapText="1"/>
    </xf>
    <xf numFmtId="49" fontId="3" fillId="2" borderId="213" xfId="0" applyNumberFormat="1" applyFont="1" applyFill="1" applyBorder="1" applyAlignment="1">
      <alignment horizontal="center" vertical="center" wrapText="1"/>
    </xf>
    <xf numFmtId="49" fontId="3" fillId="2" borderId="214" xfId="0" applyNumberFormat="1" applyFont="1" applyFill="1" applyBorder="1" applyAlignment="1">
      <alignment horizontal="center" vertical="center" wrapText="1"/>
    </xf>
    <xf numFmtId="49" fontId="3" fillId="2" borderId="215" xfId="0" applyNumberFormat="1" applyFont="1" applyFill="1" applyBorder="1" applyAlignment="1">
      <alignment horizontal="center" vertical="center" wrapText="1"/>
    </xf>
    <xf numFmtId="0" fontId="0" fillId="2" borderId="322" xfId="0" applyFill="1" applyBorder="1" applyAlignment="1">
      <alignment horizontal="center" wrapText="1"/>
    </xf>
    <xf numFmtId="0" fontId="0" fillId="2" borderId="339" xfId="0" applyFill="1" applyBorder="1" applyAlignment="1">
      <alignment horizontal="center"/>
    </xf>
    <xf numFmtId="49" fontId="27" fillId="2" borderId="213" xfId="0" applyNumberFormat="1" applyFont="1" applyFill="1" applyBorder="1" applyAlignment="1">
      <alignment horizontal="left" vertical="center" wrapText="1"/>
    </xf>
    <xf numFmtId="0" fontId="3" fillId="2" borderId="213" xfId="0" applyFont="1" applyFill="1" applyBorder="1" applyAlignment="1">
      <alignment horizontal="left" wrapText="1"/>
    </xf>
    <xf numFmtId="0" fontId="3" fillId="2" borderId="214" xfId="0" applyFont="1" applyFill="1" applyBorder="1" applyAlignment="1">
      <alignment horizontal="left" wrapText="1"/>
    </xf>
    <xf numFmtId="0" fontId="3" fillId="2" borderId="215" xfId="0" applyFont="1" applyFill="1" applyBorder="1" applyAlignment="1">
      <alignment horizontal="left" wrapText="1"/>
    </xf>
    <xf numFmtId="0" fontId="3" fillId="5" borderId="304" xfId="0" applyNumberFormat="1" applyFont="1" applyFill="1" applyBorder="1" applyAlignment="1">
      <alignment horizontal="center"/>
    </xf>
    <xf numFmtId="0" fontId="0" fillId="2" borderId="293" xfId="0" applyFill="1" applyBorder="1" applyAlignment="1">
      <alignment wrapText="1"/>
    </xf>
    <xf numFmtId="0" fontId="0" fillId="2" borderId="96" xfId="0" applyFill="1" applyBorder="1" applyAlignment="1">
      <alignment wrapText="1"/>
    </xf>
    <xf numFmtId="0" fontId="0" fillId="2" borderId="191" xfId="0" applyFill="1" applyBorder="1" applyAlignment="1">
      <alignment wrapText="1"/>
    </xf>
    <xf numFmtId="0" fontId="5" fillId="2" borderId="219" xfId="0" applyNumberFormat="1" applyFont="1" applyFill="1" applyBorder="1" applyAlignment="1">
      <alignment horizontal="center"/>
    </xf>
    <xf numFmtId="0" fontId="3" fillId="5" borderId="309" xfId="0" applyNumberFormat="1" applyFont="1" applyFill="1" applyBorder="1" applyAlignment="1">
      <alignment horizontal="center"/>
    </xf>
    <xf numFmtId="0" fontId="3" fillId="11" borderId="309" xfId="0" applyNumberFormat="1" applyFont="1" applyFill="1" applyBorder="1" applyAlignment="1">
      <alignment horizontal="center"/>
    </xf>
    <xf numFmtId="171" fontId="0" fillId="2" borderId="190" xfId="0" applyNumberFormat="1" applyFill="1" applyBorder="1" applyAlignment="1">
      <alignment horizontal="center" vertical="center"/>
    </xf>
    <xf numFmtId="10" fontId="0" fillId="2" borderId="193" xfId="0" applyNumberFormat="1" applyFill="1" applyBorder="1" applyAlignment="1">
      <alignment horizontal="center" vertical="center"/>
    </xf>
    <xf numFmtId="0" fontId="3" fillId="5" borderId="231" xfId="0" applyNumberFormat="1" applyFont="1" applyFill="1" applyBorder="1" applyAlignment="1">
      <alignment horizontal="center"/>
    </xf>
    <xf numFmtId="0" fontId="3" fillId="5" borderId="233" xfId="0" applyNumberFormat="1" applyFont="1" applyFill="1" applyBorder="1" applyAlignment="1">
      <alignment horizontal="center"/>
    </xf>
    <xf numFmtId="9" fontId="0" fillId="2" borderId="252" xfId="1" applyFont="1" applyFill="1" applyBorder="1" applyAlignment="1">
      <alignment horizontal="center"/>
    </xf>
    <xf numFmtId="2" fontId="0" fillId="2" borderId="185" xfId="0" applyNumberFormat="1" applyFill="1" applyBorder="1" applyAlignment="1">
      <alignment horizontal="center" vertical="center"/>
    </xf>
    <xf numFmtId="2" fontId="0" fillId="2" borderId="190" xfId="0" applyNumberFormat="1" applyFill="1" applyBorder="1" applyAlignment="1">
      <alignment horizontal="center" vertical="center"/>
    </xf>
    <xf numFmtId="2" fontId="0" fillId="2" borderId="193" xfId="0" applyNumberFormat="1" applyFill="1" applyBorder="1" applyAlignment="1">
      <alignment horizontal="center" vertical="center"/>
    </xf>
    <xf numFmtId="49" fontId="12" fillId="2" borderId="305" xfId="0" applyNumberFormat="1" applyFont="1" applyFill="1" applyBorder="1" applyAlignment="1">
      <alignment horizontal="left" vertical="center" wrapText="1"/>
    </xf>
    <xf numFmtId="0" fontId="12" fillId="2" borderId="306" xfId="0" applyFont="1" applyFill="1" applyBorder="1" applyAlignment="1">
      <alignment horizontal="left" vertical="center"/>
    </xf>
    <xf numFmtId="0" fontId="12" fillId="2" borderId="307" xfId="0" applyFont="1" applyFill="1" applyBorder="1" applyAlignment="1">
      <alignment horizontal="left" vertical="center"/>
    </xf>
    <xf numFmtId="0" fontId="12" fillId="2" borderId="344" xfId="0" applyFont="1" applyFill="1" applyBorder="1" applyAlignment="1">
      <alignment horizontal="left" vertical="center"/>
    </xf>
    <xf numFmtId="0" fontId="12" fillId="2" borderId="308" xfId="0" applyFont="1" applyFill="1" applyBorder="1" applyAlignment="1">
      <alignment horizontal="left" vertical="center"/>
    </xf>
    <xf numFmtId="0" fontId="0" fillId="2" borderId="191" xfId="0" applyFill="1" applyBorder="1" applyAlignment="1">
      <alignment horizontal="center" vertical="center" wrapText="1"/>
    </xf>
    <xf numFmtId="0" fontId="0" fillId="2" borderId="185" xfId="0" applyFill="1" applyBorder="1" applyAlignment="1">
      <alignment horizontal="center" vertical="center"/>
    </xf>
    <xf numFmtId="0" fontId="0" fillId="2" borderId="190" xfId="0" applyFill="1" applyBorder="1" applyAlignment="1">
      <alignment horizontal="center" vertical="center"/>
    </xf>
    <xf numFmtId="167" fontId="0" fillId="2" borderId="251" xfId="0" applyNumberFormat="1" applyFill="1" applyBorder="1" applyAlignment="1">
      <alignment horizontal="center"/>
    </xf>
    <xf numFmtId="167" fontId="0" fillId="2" borderId="289" xfId="0" applyNumberFormat="1" applyFill="1" applyBorder="1" applyAlignment="1">
      <alignment horizontal="center"/>
    </xf>
    <xf numFmtId="167" fontId="0" fillId="2" borderId="290" xfId="0" applyNumberFormat="1" applyFill="1" applyBorder="1" applyAlignment="1">
      <alignment horizontal="center"/>
    </xf>
    <xf numFmtId="3" fontId="0" fillId="2" borderId="289" xfId="0" applyNumberFormat="1" applyFill="1" applyBorder="1" applyAlignment="1">
      <alignment horizontal="center" vertical="center"/>
    </xf>
    <xf numFmtId="3" fontId="0" fillId="2" borderId="290" xfId="0" applyNumberFormat="1" applyFill="1" applyBorder="1" applyAlignment="1">
      <alignment horizontal="center" vertical="center"/>
    </xf>
    <xf numFmtId="171" fontId="0" fillId="2" borderId="251" xfId="0" applyNumberFormat="1" applyFill="1" applyBorder="1" applyAlignment="1">
      <alignment horizontal="center" vertical="center"/>
    </xf>
    <xf numFmtId="171" fontId="0" fillId="2" borderId="290" xfId="0" applyNumberFormat="1" applyFill="1" applyBorder="1" applyAlignment="1">
      <alignment horizontal="center" vertical="center"/>
    </xf>
    <xf numFmtId="171" fontId="0" fillId="2" borderId="251" xfId="0" applyNumberFormat="1" applyFill="1" applyBorder="1" applyAlignment="1">
      <alignment horizontal="center" vertical="center" wrapText="1"/>
    </xf>
    <xf numFmtId="171" fontId="0" fillId="2" borderId="289" xfId="0" applyNumberFormat="1" applyFill="1" applyBorder="1" applyAlignment="1">
      <alignment horizontal="center" vertical="center"/>
    </xf>
    <xf numFmtId="171" fontId="0" fillId="2" borderId="184" xfId="0" applyNumberFormat="1" applyFill="1" applyBorder="1" applyAlignment="1">
      <alignment horizontal="center" vertical="center"/>
    </xf>
    <xf numFmtId="3" fontId="0" fillId="2" borderId="185" xfId="0" applyNumberFormat="1" applyFill="1" applyBorder="1" applyAlignment="1">
      <alignment horizontal="center" vertical="center"/>
    </xf>
    <xf numFmtId="172" fontId="0" fillId="2" borderId="10" xfId="0" applyNumberFormat="1" applyFill="1" applyBorder="1" applyAlignment="1">
      <alignment horizontal="center" vertical="center"/>
    </xf>
    <xf numFmtId="10" fontId="0" fillId="2" borderId="152" xfId="0" applyNumberFormat="1" applyFill="1" applyBorder="1" applyAlignment="1">
      <alignment horizontal="center" vertical="center"/>
    </xf>
    <xf numFmtId="10" fontId="0" fillId="2" borderId="204" xfId="0" applyNumberFormat="1" applyFill="1" applyBorder="1" applyAlignment="1">
      <alignment horizontal="center" vertical="center"/>
    </xf>
    <xf numFmtId="172" fontId="0" fillId="2" borderId="98" xfId="0" applyNumberFormat="1" applyFill="1" applyBorder="1" applyAlignment="1">
      <alignment horizontal="center" vertical="center"/>
    </xf>
    <xf numFmtId="0" fontId="0" fillId="2" borderId="337" xfId="0" applyFill="1" applyBorder="1" applyAlignment="1">
      <alignment horizontal="center"/>
    </xf>
    <xf numFmtId="0" fontId="0" fillId="2" borderId="343" xfId="0" applyFill="1" applyBorder="1" applyAlignment="1">
      <alignment horizontal="center"/>
    </xf>
    <xf numFmtId="49" fontId="3" fillId="2" borderId="213" xfId="0" applyNumberFormat="1" applyFont="1" applyFill="1" applyBorder="1" applyAlignment="1">
      <alignment horizontal="left" vertical="top" wrapText="1"/>
    </xf>
    <xf numFmtId="49" fontId="3" fillId="2" borderId="214" xfId="0" applyNumberFormat="1" applyFont="1" applyFill="1" applyBorder="1" applyAlignment="1">
      <alignment horizontal="left" vertical="top" wrapText="1"/>
    </xf>
    <xf numFmtId="0" fontId="3" fillId="5" borderId="213" xfId="0" applyNumberFormat="1" applyFont="1" applyFill="1" applyBorder="1" applyAlignment="1">
      <alignment horizontal="center"/>
    </xf>
    <xf numFmtId="0" fontId="3" fillId="5" borderId="215" xfId="0" applyNumberFormat="1" applyFont="1" applyFill="1" applyBorder="1" applyAlignment="1">
      <alignment horizontal="center"/>
    </xf>
    <xf numFmtId="49" fontId="3" fillId="11" borderId="213" xfId="0" applyNumberFormat="1" applyFont="1" applyFill="1" applyBorder="1" applyAlignment="1">
      <alignment horizontal="center" wrapText="1"/>
    </xf>
    <xf numFmtId="49" fontId="3" fillId="11" borderId="214" xfId="0" applyNumberFormat="1" applyFont="1" applyFill="1" applyBorder="1" applyAlignment="1">
      <alignment horizontal="center" wrapText="1"/>
    </xf>
    <xf numFmtId="49" fontId="3" fillId="11" borderId="215" xfId="0" applyNumberFormat="1" applyFont="1" applyFill="1" applyBorder="1" applyAlignment="1">
      <alignment horizontal="center" wrapText="1"/>
    </xf>
    <xf numFmtId="171" fontId="0" fillId="2" borderId="252" xfId="1" applyNumberFormat="1" applyFont="1" applyFill="1" applyBorder="1" applyAlignment="1">
      <alignment horizontal="center"/>
    </xf>
    <xf numFmtId="171" fontId="0" fillId="2" borderId="287" xfId="1" applyNumberFormat="1" applyFont="1" applyFill="1" applyBorder="1" applyAlignment="1">
      <alignment horizontal="center"/>
    </xf>
    <xf numFmtId="49" fontId="32" fillId="2" borderId="311" xfId="0" applyNumberFormat="1" applyFont="1" applyFill="1" applyBorder="1" applyAlignment="1">
      <alignment horizontal="center" wrapText="1"/>
    </xf>
    <xf numFmtId="49" fontId="12" fillId="2" borderId="312" xfId="0" applyNumberFormat="1" applyFont="1" applyFill="1" applyBorder="1" applyAlignment="1">
      <alignment horizontal="center" wrapText="1"/>
    </xf>
    <xf numFmtId="49" fontId="12" fillId="2" borderId="313" xfId="0" applyNumberFormat="1" applyFont="1" applyFill="1" applyBorder="1" applyAlignment="1">
      <alignment horizontal="center" wrapText="1"/>
    </xf>
    <xf numFmtId="168" fontId="0" fillId="2" borderId="251" xfId="0" applyNumberFormat="1" applyFill="1" applyBorder="1" applyAlignment="1">
      <alignment horizontal="center"/>
    </xf>
    <xf numFmtId="168" fontId="0" fillId="2" borderId="290" xfId="0" applyNumberFormat="1" applyFill="1" applyBorder="1" applyAlignment="1">
      <alignment horizontal="center"/>
    </xf>
    <xf numFmtId="44" fontId="0" fillId="2" borderId="184" xfId="2" applyFont="1" applyFill="1" applyBorder="1" applyAlignment="1"/>
    <xf numFmtId="44" fontId="0" fillId="2" borderId="10" xfId="2" applyFont="1" applyFill="1" applyBorder="1" applyAlignment="1"/>
    <xf numFmtId="44" fontId="0" fillId="2" borderId="190" xfId="2" applyFont="1" applyFill="1" applyBorder="1" applyAlignment="1"/>
    <xf numFmtId="44" fontId="0" fillId="2" borderId="193" xfId="2" applyFont="1" applyFill="1" applyBorder="1" applyAlignment="1"/>
    <xf numFmtId="0" fontId="0" fillId="2" borderId="283" xfId="0" applyFill="1" applyBorder="1" applyAlignment="1">
      <alignment wrapText="1"/>
    </xf>
    <xf numFmtId="49" fontId="3" fillId="2" borderId="213" xfId="0" applyNumberFormat="1" applyFont="1" applyFill="1" applyBorder="1" applyAlignment="1">
      <alignment horizontal="left" vertical="top"/>
    </xf>
    <xf numFmtId="49" fontId="3" fillId="2" borderId="214" xfId="0" applyNumberFormat="1" applyFont="1" applyFill="1" applyBorder="1" applyAlignment="1">
      <alignment horizontal="left" vertical="top"/>
    </xf>
    <xf numFmtId="49" fontId="3" fillId="2" borderId="215" xfId="0" applyNumberFormat="1" applyFont="1" applyFill="1" applyBorder="1" applyAlignment="1">
      <alignment horizontal="left" vertical="top"/>
    </xf>
    <xf numFmtId="4" fontId="0" fillId="2" borderId="111" xfId="0" applyNumberFormat="1" applyFill="1" applyBorder="1" applyAlignment="1">
      <alignment horizontal="center" vertical="center"/>
    </xf>
    <xf numFmtId="1" fontId="0" fillId="2" borderId="98" xfId="0" applyNumberFormat="1" applyFill="1" applyBorder="1" applyAlignment="1">
      <alignment horizontal="center" vertical="center"/>
    </xf>
    <xf numFmtId="1" fontId="0" fillId="2" borderId="193" xfId="0" applyNumberFormat="1" applyFill="1" applyBorder="1" applyAlignment="1">
      <alignment horizontal="center" vertical="center"/>
    </xf>
    <xf numFmtId="1" fontId="0" fillId="2" borderId="190" xfId="0" applyNumberFormat="1" applyFill="1" applyBorder="1" applyAlignment="1">
      <alignment horizontal="center" vertical="center"/>
    </xf>
    <xf numFmtId="2" fontId="0" fillId="2" borderId="204" xfId="0" applyNumberFormat="1" applyFill="1" applyBorder="1" applyAlignment="1">
      <alignment horizontal="center" vertical="center"/>
    </xf>
    <xf numFmtId="1" fontId="0" fillId="2" borderId="10" xfId="0" applyNumberFormat="1" applyFill="1" applyBorder="1" applyAlignment="1">
      <alignment horizontal="center" vertical="center"/>
    </xf>
    <xf numFmtId="171" fontId="0" fillId="2" borderId="193" xfId="0" applyNumberFormat="1" applyFill="1" applyBorder="1" applyAlignment="1">
      <alignment horizontal="center" vertical="center"/>
    </xf>
    <xf numFmtId="49" fontId="3" fillId="2" borderId="215" xfId="0" applyNumberFormat="1" applyFont="1" applyFill="1" applyBorder="1" applyAlignment="1">
      <alignment horizontal="left" vertical="top" wrapText="1"/>
    </xf>
    <xf numFmtId="2" fontId="0" fillId="2" borderId="200" xfId="0" applyNumberFormat="1" applyFill="1" applyBorder="1" applyAlignment="1">
      <alignment horizontal="center" vertical="center" wrapText="1"/>
    </xf>
    <xf numFmtId="0" fontId="12" fillId="6" borderId="349" xfId="0" applyFont="1" applyFill="1" applyBorder="1" applyAlignment="1">
      <alignment horizontal="left" vertical="top" wrapText="1"/>
    </xf>
    <xf numFmtId="0" fontId="12" fillId="6" borderId="351" xfId="0" applyFont="1" applyFill="1" applyBorder="1" applyAlignment="1">
      <alignment horizontal="left" vertical="top" wrapText="1"/>
    </xf>
    <xf numFmtId="0" fontId="12" fillId="6" borderId="350" xfId="0" applyFont="1" applyFill="1" applyBorder="1" applyAlignment="1">
      <alignment horizontal="left" vertical="top" wrapText="1"/>
    </xf>
    <xf numFmtId="164" fontId="0" fillId="0" borderId="232" xfId="0" applyNumberFormat="1" applyBorder="1" applyAlignment="1">
      <alignment horizontal="center"/>
    </xf>
    <xf numFmtId="164" fontId="0" fillId="0" borderId="233" xfId="0" applyNumberFormat="1" applyBorder="1" applyAlignment="1">
      <alignment horizontal="center"/>
    </xf>
    <xf numFmtId="164" fontId="0" fillId="0" borderId="256" xfId="0" applyNumberFormat="1" applyBorder="1" applyAlignment="1">
      <alignment horizontal="center"/>
    </xf>
    <xf numFmtId="164" fontId="0" fillId="0" borderId="106" xfId="0" applyNumberFormat="1" applyBorder="1" applyAlignment="1">
      <alignment horizontal="center"/>
    </xf>
    <xf numFmtId="164" fontId="0" fillId="0" borderId="257" xfId="0" applyNumberFormat="1" applyBorder="1" applyAlignment="1">
      <alignment horizontal="center"/>
    </xf>
    <xf numFmtId="164" fontId="0" fillId="0" borderId="234" xfId="0" applyNumberFormat="1" applyBorder="1" applyAlignment="1">
      <alignment horizontal="center"/>
    </xf>
    <xf numFmtId="164" fontId="0" fillId="0" borderId="235" xfId="0" applyNumberFormat="1" applyBorder="1" applyAlignment="1">
      <alignment horizontal="center"/>
    </xf>
    <xf numFmtId="164" fontId="0" fillId="0" borderId="236" xfId="0" applyNumberFormat="1" applyBorder="1" applyAlignment="1">
      <alignment horizontal="center"/>
    </xf>
    <xf numFmtId="0" fontId="0" fillId="0" borderId="175" xfId="0" applyBorder="1" applyAlignment="1">
      <alignment wrapText="1"/>
    </xf>
    <xf numFmtId="0" fontId="3" fillId="0" borderId="175" xfId="0" applyFont="1" applyBorder="1" applyAlignment="1">
      <alignment wrapText="1"/>
    </xf>
    <xf numFmtId="164" fontId="0" fillId="0" borderId="214" xfId="0" applyNumberFormat="1" applyBorder="1" applyAlignment="1">
      <alignment horizontal="center"/>
    </xf>
    <xf numFmtId="164" fontId="0" fillId="0" borderId="215" xfId="0" applyNumberFormat="1" applyBorder="1" applyAlignment="1">
      <alignment horizontal="center"/>
    </xf>
    <xf numFmtId="49" fontId="0" fillId="0" borderId="171" xfId="0" applyNumberFormat="1" applyBorder="1" applyAlignment="1">
      <alignment wrapText="1"/>
    </xf>
    <xf numFmtId="0" fontId="0" fillId="0" borderId="172" xfId="0" applyBorder="1" applyAlignment="1">
      <alignment wrapText="1"/>
    </xf>
    <xf numFmtId="0" fontId="0" fillId="0" borderId="173" xfId="0" applyBorder="1" applyAlignment="1">
      <alignment wrapText="1"/>
    </xf>
    <xf numFmtId="49" fontId="0" fillId="0" borderId="174" xfId="0" applyNumberFormat="1" applyBorder="1" applyAlignment="1">
      <alignment wrapText="1"/>
    </xf>
    <xf numFmtId="0" fontId="0" fillId="0" borderId="164" xfId="0" applyBorder="1" applyAlignment="1">
      <alignment wrapText="1"/>
    </xf>
    <xf numFmtId="49" fontId="12" fillId="6" borderId="223" xfId="0" applyNumberFormat="1" applyFont="1" applyFill="1" applyBorder="1" applyAlignment="1">
      <alignment wrapText="1"/>
    </xf>
    <xf numFmtId="49" fontId="12" fillId="6" borderId="224" xfId="0" applyNumberFormat="1" applyFont="1" applyFill="1" applyBorder="1" applyAlignment="1">
      <alignment wrapText="1"/>
    </xf>
    <xf numFmtId="49" fontId="12" fillId="6" borderId="225" xfId="0" applyNumberFormat="1" applyFont="1" applyFill="1" applyBorder="1" applyAlignment="1">
      <alignment wrapText="1"/>
    </xf>
    <xf numFmtId="0" fontId="1" fillId="13" borderId="0" xfId="0" applyFont="1" applyFill="1" applyAlignment="1">
      <alignment horizontal="center" vertical="center"/>
    </xf>
    <xf numFmtId="0" fontId="5" fillId="0" borderId="169" xfId="0" applyNumberFormat="1" applyFont="1" applyBorder="1" applyAlignment="1">
      <alignment horizontal="center"/>
    </xf>
    <xf numFmtId="0" fontId="5" fillId="4" borderId="169" xfId="0" applyNumberFormat="1" applyFont="1" applyFill="1" applyBorder="1" applyAlignment="1">
      <alignment horizontal="center"/>
    </xf>
    <xf numFmtId="0" fontId="5" fillId="0" borderId="169" xfId="0" applyFont="1" applyBorder="1" applyAlignment="1">
      <alignment horizontal="center"/>
    </xf>
    <xf numFmtId="0" fontId="5" fillId="4" borderId="169" xfId="0" applyFont="1" applyFill="1" applyBorder="1" applyAlignment="1">
      <alignment horizontal="center"/>
    </xf>
    <xf numFmtId="164" fontId="0" fillId="0" borderId="231" xfId="0" applyNumberFormat="1" applyBorder="1" applyAlignment="1">
      <alignment horizontal="center" wrapText="1"/>
    </xf>
    <xf numFmtId="164" fontId="0" fillId="0" borderId="213" xfId="0" applyNumberFormat="1" applyBorder="1" applyAlignment="1">
      <alignment horizontal="center" wrapText="1"/>
    </xf>
    <xf numFmtId="168" fontId="0" fillId="2" borderId="251" xfId="0" applyNumberFormat="1" applyFill="1" applyBorder="1" applyAlignment="1">
      <alignment horizontal="center" wrapText="1"/>
    </xf>
    <xf numFmtId="3" fontId="0" fillId="2" borderId="251" xfId="0" applyNumberFormat="1" applyFill="1" applyBorder="1" applyAlignment="1">
      <alignment horizontal="center" vertical="center" wrapText="1"/>
    </xf>
    <xf numFmtId="0" fontId="0" fillId="2" borderId="2" xfId="0" applyFill="1" applyBorder="1" applyAlignment="1"/>
    <xf numFmtId="0" fontId="0" fillId="2" borderId="5" xfId="0" applyFill="1" applyBorder="1" applyAlignment="1"/>
    <xf numFmtId="0" fontId="0" fillId="2" borderId="9" xfId="0" applyFill="1" applyBorder="1" applyAlignment="1"/>
    <xf numFmtId="0" fontId="0" fillId="2" borderId="10" xfId="0" applyFill="1" applyBorder="1" applyAlignment="1"/>
    <xf numFmtId="0" fontId="0" fillId="2" borderId="16" xfId="0" applyFill="1" applyBorder="1" applyAlignment="1"/>
    <xf numFmtId="0" fontId="0" fillId="2" borderId="192" xfId="0" applyFill="1" applyBorder="1" applyAlignment="1"/>
    <xf numFmtId="0" fontId="0" fillId="2" borderId="13" xfId="0" applyFill="1" applyBorder="1" applyAlignment="1"/>
    <xf numFmtId="0" fontId="0" fillId="2" borderId="17" xfId="0" applyFill="1" applyBorder="1" applyAlignment="1"/>
    <xf numFmtId="0" fontId="0" fillId="2" borderId="18" xfId="0" applyFill="1" applyBorder="1" applyAlignment="1"/>
    <xf numFmtId="0" fontId="0" fillId="2" borderId="22" xfId="0" applyFill="1" applyBorder="1" applyAlignment="1"/>
    <xf numFmtId="0" fontId="0" fillId="2" borderId="197" xfId="0" applyFill="1" applyBorder="1" applyAlignment="1"/>
    <xf numFmtId="0" fontId="0" fillId="2" borderId="244" xfId="0" applyFill="1" applyBorder="1" applyAlignment="1"/>
    <xf numFmtId="0" fontId="0" fillId="2" borderId="101" xfId="0" applyFill="1" applyBorder="1" applyAlignment="1"/>
    <xf numFmtId="0" fontId="0" fillId="2" borderId="106" xfId="0" applyFill="1" applyBorder="1" applyAlignment="1"/>
    <xf numFmtId="0" fontId="0" fillId="2" borderId="109" xfId="0" applyFill="1" applyBorder="1" applyAlignment="1"/>
    <xf numFmtId="0" fontId="0" fillId="2" borderId="3" xfId="0" applyFill="1" applyBorder="1" applyAlignment="1"/>
    <xf numFmtId="0" fontId="0" fillId="2" borderId="1" xfId="0" applyFill="1" applyBorder="1" applyAlignment="1"/>
    <xf numFmtId="0" fontId="0" fillId="2" borderId="11" xfId="0" applyFill="1" applyBorder="1" applyAlignment="1"/>
    <xf numFmtId="0" fontId="0" fillId="2" borderId="19" xfId="0" applyFill="1" applyBorder="1" applyAlignment="1"/>
    <xf numFmtId="0" fontId="0" fillId="2" borderId="178" xfId="0" applyFill="1" applyBorder="1" applyAlignment="1"/>
    <xf numFmtId="0" fontId="0" fillId="2" borderId="78" xfId="0" applyFill="1" applyBorder="1" applyAlignment="1"/>
    <xf numFmtId="0" fontId="0" fillId="2" borderId="353" xfId="0" applyFill="1" applyBorder="1" applyAlignment="1"/>
    <xf numFmtId="0" fontId="0" fillId="2" borderId="103" xfId="0" applyFill="1" applyBorder="1" applyAlignment="1"/>
    <xf numFmtId="0" fontId="0" fillId="2" borderId="104" xfId="0" applyFill="1" applyBorder="1" applyAlignment="1"/>
    <xf numFmtId="0" fontId="0" fillId="2" borderId="140" xfId="0" applyFill="1" applyBorder="1" applyAlignment="1"/>
    <xf numFmtId="0" fontId="0" fillId="2" borderId="193" xfId="0" applyFill="1" applyBorder="1" applyAlignment="1"/>
    <xf numFmtId="0" fontId="0" fillId="2" borderId="105" xfId="0" applyFill="1" applyBorder="1" applyAlignment="1"/>
    <xf numFmtId="0" fontId="0" fillId="2" borderId="107" xfId="0" applyFill="1" applyBorder="1" applyAlignment="1"/>
    <xf numFmtId="0" fontId="0" fillId="2" borderId="108" xfId="0" applyFill="1" applyBorder="1" applyAlignment="1"/>
    <xf numFmtId="0" fontId="0" fillId="2" borderId="143" xfId="0" applyFill="1" applyBorder="1" applyAlignment="1"/>
    <xf numFmtId="0" fontId="0" fillId="2" borderId="144" xfId="0" applyFill="1" applyBorder="1" applyAlignment="1"/>
    <xf numFmtId="0" fontId="0" fillId="2" borderId="354" xfId="0" applyFill="1" applyBorder="1" applyAlignment="1"/>
    <xf numFmtId="0" fontId="0" fillId="2" borderId="77" xfId="0" applyFill="1" applyBorder="1" applyAlignment="1"/>
    <xf numFmtId="0" fontId="0" fillId="2" borderId="355" xfId="0" applyFill="1" applyBorder="1" applyAlignment="1"/>
    <xf numFmtId="49" fontId="3" fillId="2" borderId="189" xfId="0" applyNumberFormat="1" applyFont="1" applyFill="1" applyBorder="1" applyAlignment="1"/>
    <xf numFmtId="0" fontId="3" fillId="2" borderId="189" xfId="0" applyFont="1" applyFill="1" applyBorder="1" applyAlignment="1"/>
    <xf numFmtId="49" fontId="3" fillId="2" borderId="144" xfId="0" applyNumberFormat="1" applyFont="1" applyFill="1" applyBorder="1" applyAlignment="1"/>
    <xf numFmtId="0" fontId="3" fillId="2" borderId="144" xfId="0" applyFont="1" applyFill="1" applyBorder="1" applyAlignment="1"/>
    <xf numFmtId="49" fontId="0" fillId="2" borderId="193" xfId="0" applyNumberFormat="1" applyFill="1" applyBorder="1" applyAlignment="1"/>
    <xf numFmtId="0" fontId="12" fillId="4" borderId="217" xfId="0" applyFont="1" applyFill="1" applyBorder="1" applyAlignment="1"/>
    <xf numFmtId="4" fontId="0" fillId="2" borderId="183" xfId="0" applyNumberFormat="1" applyFill="1" applyBorder="1" applyAlignment="1"/>
    <xf numFmtId="0" fontId="0" fillId="2" borderId="99" xfId="0" applyFill="1" applyBorder="1" applyAlignment="1"/>
    <xf numFmtId="0" fontId="0" fillId="2" borderId="180" xfId="0" applyFill="1" applyBorder="1" applyAlignment="1"/>
    <xf numFmtId="4" fontId="0" fillId="2" borderId="291" xfId="0" applyNumberFormat="1" applyFill="1" applyBorder="1" applyAlignment="1"/>
    <xf numFmtId="4" fontId="0" fillId="2" borderId="292" xfId="0" applyNumberFormat="1" applyFill="1" applyBorder="1" applyAlignment="1"/>
    <xf numFmtId="0" fontId="0" fillId="2" borderId="294" xfId="0" applyFill="1" applyBorder="1" applyAlignment="1"/>
    <xf numFmtId="4" fontId="0" fillId="2" borderId="276" xfId="0" applyNumberFormat="1" applyFill="1" applyBorder="1" applyAlignment="1"/>
    <xf numFmtId="0" fontId="0" fillId="2" borderId="295" xfId="0" applyFill="1" applyBorder="1" applyAlignment="1"/>
    <xf numFmtId="4" fontId="0" fillId="2" borderId="202" xfId="0" applyNumberFormat="1" applyFill="1" applyBorder="1" applyAlignment="1"/>
    <xf numFmtId="1" fontId="0" fillId="2" borderId="185" xfId="0" applyNumberFormat="1" applyFill="1" applyBorder="1" applyAlignment="1"/>
    <xf numFmtId="0" fontId="0" fillId="2" borderId="111" xfId="0" applyFill="1" applyBorder="1" applyAlignment="1"/>
    <xf numFmtId="4" fontId="0" fillId="2" borderId="210" xfId="0" applyNumberFormat="1" applyFill="1" applyBorder="1" applyAlignment="1"/>
    <xf numFmtId="0" fontId="0" fillId="2" borderId="152" xfId="0" applyFill="1" applyBorder="1" applyAlignment="1"/>
    <xf numFmtId="0" fontId="12" fillId="2" borderId="337" xfId="0" applyFont="1" applyFill="1" applyBorder="1" applyAlignment="1"/>
    <xf numFmtId="0" fontId="0" fillId="2" borderId="194" xfId="0" applyFill="1" applyBorder="1" applyAlignment="1"/>
    <xf numFmtId="0" fontId="0" fillId="2" borderId="199" xfId="0" applyFill="1" applyBorder="1" applyAlignment="1"/>
    <xf numFmtId="0" fontId="0" fillId="2" borderId="216" xfId="0" applyFill="1" applyBorder="1" applyAlignment="1"/>
    <xf numFmtId="0" fontId="0" fillId="2" borderId="206" xfId="0" applyFill="1" applyBorder="1" applyAlignment="1"/>
    <xf numFmtId="0" fontId="0" fillId="2" borderId="205" xfId="0" applyFill="1" applyBorder="1" applyAlignment="1"/>
    <xf numFmtId="0" fontId="12" fillId="2" borderId="211" xfId="0" applyFont="1" applyFill="1" applyBorder="1" applyAlignment="1"/>
    <xf numFmtId="2" fontId="0" fillId="2" borderId="184" xfId="0" applyNumberFormat="1" applyFill="1" applyBorder="1" applyAlignment="1"/>
    <xf numFmtId="2" fontId="0" fillId="2" borderId="190" xfId="0" applyNumberFormat="1" applyFill="1" applyBorder="1" applyAlignment="1"/>
    <xf numFmtId="2" fontId="0" fillId="2" borderId="178" xfId="0" applyNumberFormat="1" applyFill="1" applyBorder="1" applyAlignment="1"/>
    <xf numFmtId="2" fontId="0" fillId="2" borderId="208" xfId="0" applyNumberFormat="1" applyFill="1" applyBorder="1" applyAlignment="1"/>
    <xf numFmtId="168" fontId="0" fillId="2" borderId="184" xfId="0" applyNumberFormat="1" applyFill="1" applyBorder="1" applyAlignment="1"/>
    <xf numFmtId="168" fontId="0" fillId="2" borderId="190" xfId="0" applyNumberFormat="1" applyFill="1" applyBorder="1" applyAlignment="1"/>
    <xf numFmtId="0" fontId="0" fillId="2" borderId="208" xfId="0" applyFill="1" applyBorder="1" applyAlignment="1"/>
    <xf numFmtId="0" fontId="0" fillId="2" borderId="184" xfId="0" applyFill="1" applyBorder="1" applyAlignment="1"/>
    <xf numFmtId="0" fontId="0" fillId="2" borderId="190" xfId="0" applyFill="1" applyBorder="1" applyAlignment="1"/>
    <xf numFmtId="0" fontId="12" fillId="2" borderId="308" xfId="0" applyFont="1" applyFill="1" applyBorder="1" applyAlignment="1"/>
    <xf numFmtId="171" fontId="0" fillId="2" borderId="185" xfId="0" applyNumberFormat="1" applyFill="1" applyBorder="1" applyAlignment="1"/>
    <xf numFmtId="171" fontId="0" fillId="2" borderId="186" xfId="0" applyNumberFormat="1" applyFill="1" applyBorder="1" applyAlignment="1"/>
    <xf numFmtId="171" fontId="0" fillId="2" borderId="190" xfId="0" applyNumberFormat="1" applyFill="1" applyBorder="1" applyAlignment="1"/>
    <xf numFmtId="0" fontId="0" fillId="2" borderId="98" xfId="0" applyFill="1" applyBorder="1" applyAlignment="1"/>
    <xf numFmtId="0" fontId="0" fillId="2" borderId="204" xfId="0" applyFill="1" applyBorder="1" applyAlignment="1"/>
    <xf numFmtId="0" fontId="0" fillId="2" borderId="185" xfId="0" applyFill="1" applyBorder="1" applyAlignment="1"/>
    <xf numFmtId="0" fontId="0" fillId="2" borderId="341" xfId="0" applyFill="1" applyBorder="1" applyAlignment="1"/>
    <xf numFmtId="0" fontId="0" fillId="2" borderId="342" xfId="0" applyFill="1" applyBorder="1" applyAlignment="1"/>
    <xf numFmtId="171" fontId="0" fillId="2" borderId="184" xfId="0" applyNumberFormat="1" applyFill="1" applyBorder="1" applyAlignment="1"/>
    <xf numFmtId="0" fontId="0" fillId="2" borderId="283" xfId="0" applyFill="1" applyBorder="1" applyAlignment="1"/>
    <xf numFmtId="0" fontId="12" fillId="11" borderId="211" xfId="0" applyFont="1" applyFill="1" applyBorder="1" applyAlignment="1"/>
    <xf numFmtId="0" fontId="0" fillId="2" borderId="198" xfId="0" applyFill="1" applyBorder="1" applyAlignment="1"/>
    <xf numFmtId="0" fontId="0" fillId="2" borderId="220" xfId="0" applyFill="1" applyBorder="1" applyAlignment="1"/>
    <xf numFmtId="0" fontId="0" fillId="0" borderId="170" xfId="0" applyBorder="1" applyAlignment="1"/>
    <xf numFmtId="0" fontId="0" fillId="0" borderId="176" xfId="0" applyBorder="1" applyAlignment="1"/>
    <xf numFmtId="0" fontId="0" fillId="0" borderId="177" xfId="0" applyBorder="1" applyAlignment="1"/>
    <xf numFmtId="0" fontId="0" fillId="0" borderId="175" xfId="0" applyBorder="1" applyAlignment="1"/>
    <xf numFmtId="0" fontId="0" fillId="0" borderId="301" xfId="0" applyBorder="1" applyAlignment="1"/>
  </cellXfs>
  <cellStyles count="4">
    <cellStyle name="Comma" xfId="3" builtinId="3"/>
    <cellStyle name="Currency" xfId="2" builtinId="4"/>
    <cellStyle name="Normal" xfId="0" builtinId="0"/>
    <cellStyle name="Percent" xfId="1" builtinId="5"/>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15151"/>
      <rgbColor rgb="FFA7A7A7"/>
      <rgbColor rgb="FFFFCC99"/>
      <rgbColor rgb="FFBDC0BF"/>
      <rgbColor rgb="FFDDDDDD"/>
      <rgbColor rgb="FFA5A5A5"/>
      <rgbColor rgb="FF3F3F3F"/>
      <rgbColor rgb="FFDBDBDB"/>
      <rgbColor rgb="FF88F94E"/>
      <rgbColor rgb="FF56C1FE"/>
      <rgbColor rgb="FFFF968C"/>
      <rgbColor rgb="FF00F900"/>
      <rgbColor rgb="FFD5D5D5"/>
      <rgbColor rgb="FFDFA7A6"/>
      <rgbColor rgb="FFF0F0F0"/>
      <rgbColor rgb="FFFF8CC5"/>
      <rgbColor rgb="FF000080"/>
      <rgbColor rgb="FFCCECFF"/>
      <rgbColor rgb="FF800000"/>
      <rgbColor rgb="FF0000FF"/>
      <rgbColor rgb="FF003300"/>
      <rgbColor rgb="FFB8CCE4"/>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50"/>
  <sheetViews>
    <sheetView showGridLines="0" topLeftCell="A149" zoomScale="111" zoomScaleNormal="120" workbookViewId="0">
      <selection activeCell="S53" sqref="S53"/>
    </sheetView>
  </sheetViews>
  <sheetFormatPr defaultColWidth="8.85546875" defaultRowHeight="12.95"/>
  <cols>
    <col min="1" max="1" width="43.140625" style="1" customWidth="1"/>
    <col min="2" max="2" width="12.140625" style="1" customWidth="1"/>
    <col min="3" max="3" width="1.42578125" style="1" customWidth="1"/>
    <col min="4" max="4" width="11.7109375" style="1" customWidth="1"/>
    <col min="5" max="5" width="2" style="1" customWidth="1"/>
    <col min="6" max="6" width="11.42578125" style="1" customWidth="1"/>
    <col min="7" max="8" width="1.85546875" style="1" customWidth="1"/>
    <col min="9" max="9" width="12.7109375" style="1" customWidth="1"/>
    <col min="10" max="10" width="27" style="1" customWidth="1"/>
    <col min="11" max="11" width="2.42578125" style="1" customWidth="1"/>
    <col min="12" max="13" width="12.7109375" style="1" customWidth="1"/>
    <col min="14" max="14" width="16.42578125" style="1" customWidth="1"/>
    <col min="15" max="15" width="2.28515625" style="1" customWidth="1"/>
    <col min="16" max="16" width="12.7109375" style="354" customWidth="1"/>
    <col min="17" max="17" width="2.85546875" style="1" customWidth="1"/>
    <col min="18" max="18" width="24.5703125" style="1" customWidth="1"/>
    <col min="19" max="19" width="8.85546875" style="1" customWidth="1"/>
    <col min="20" max="16384" width="8.85546875" style="1"/>
  </cols>
  <sheetData>
    <row r="1" spans="1:18" ht="12.75">
      <c r="A1" s="901" t="s">
        <v>0</v>
      </c>
      <c r="B1" s="1249"/>
      <c r="C1" s="1249"/>
      <c r="D1" s="1249"/>
      <c r="E1" s="1249"/>
      <c r="F1" s="1249"/>
      <c r="G1" s="1249"/>
      <c r="H1" s="3"/>
      <c r="I1" s="886" t="s">
        <v>1</v>
      </c>
      <c r="J1" s="1249"/>
      <c r="K1" s="4"/>
      <c r="L1" s="901" t="s">
        <v>2</v>
      </c>
      <c r="M1" s="1249"/>
      <c r="N1" s="1249"/>
      <c r="O1" s="5"/>
      <c r="P1" s="881" t="s">
        <v>3</v>
      </c>
      <c r="Q1" s="882"/>
      <c r="R1" s="1250"/>
    </row>
    <row r="2" spans="1:18">
      <c r="A2" s="1251"/>
      <c r="B2" s="1252"/>
      <c r="C2" s="1252"/>
      <c r="D2" s="1252"/>
      <c r="E2" s="1252"/>
      <c r="F2" s="1252"/>
      <c r="G2" s="1252"/>
      <c r="H2" s="7"/>
      <c r="I2" s="1251"/>
      <c r="J2" s="1252"/>
      <c r="K2" s="8"/>
      <c r="L2" s="1251"/>
      <c r="M2" s="1252"/>
      <c r="N2" s="1252"/>
      <c r="O2" s="5"/>
      <c r="P2" s="1253"/>
      <c r="Q2" s="1254"/>
      <c r="R2" s="1255"/>
    </row>
    <row r="3" spans="1:18" ht="14.1" thickBot="1">
      <c r="A3" s="1256"/>
      <c r="B3" s="1257"/>
      <c r="C3" s="1257"/>
      <c r="D3" s="1257"/>
      <c r="E3" s="1257"/>
      <c r="F3" s="1257"/>
      <c r="G3" s="1257"/>
      <c r="H3" s="10"/>
      <c r="I3" s="1256"/>
      <c r="J3" s="1257"/>
      <c r="K3" s="11"/>
      <c r="L3" s="1256"/>
      <c r="M3" s="1257"/>
      <c r="N3" s="1257"/>
      <c r="O3" s="5"/>
      <c r="P3" s="1258"/>
      <c r="Q3" s="1259"/>
      <c r="R3" s="1260"/>
    </row>
    <row r="4" spans="1:18" ht="12.75">
      <c r="A4" s="12"/>
      <c r="B4" s="13">
        <v>2023</v>
      </c>
      <c r="C4" s="14"/>
      <c r="D4" s="13">
        <f>B4-1</f>
        <v>2022</v>
      </c>
      <c r="E4" s="15"/>
      <c r="F4" s="13">
        <f>D4-1</f>
        <v>2021</v>
      </c>
      <c r="G4" s="15"/>
      <c r="H4" s="14"/>
      <c r="I4" s="13">
        <f>B4</f>
        <v>2023</v>
      </c>
      <c r="J4" s="16">
        <f>D4</f>
        <v>2022</v>
      </c>
      <c r="K4" s="17"/>
      <c r="L4" s="13">
        <f>B4</f>
        <v>2023</v>
      </c>
      <c r="M4" s="13">
        <f>D4</f>
        <v>2022</v>
      </c>
      <c r="N4" s="13">
        <f>F4</f>
        <v>2021</v>
      </c>
      <c r="O4" s="18"/>
      <c r="P4" s="363">
        <f>B4</f>
        <v>2023</v>
      </c>
      <c r="Q4" s="364"/>
      <c r="R4" s="376"/>
    </row>
    <row r="5" spans="1:18" ht="14.1">
      <c r="A5" s="19" t="s">
        <v>4</v>
      </c>
      <c r="B5" s="20"/>
      <c r="C5" s="20"/>
      <c r="D5" s="20"/>
      <c r="E5" s="21"/>
      <c r="F5" s="378" t="s">
        <v>5</v>
      </c>
      <c r="G5" s="21"/>
      <c r="H5" s="22"/>
      <c r="I5" s="23"/>
      <c r="J5" s="24"/>
      <c r="K5" s="25"/>
      <c r="L5" s="26"/>
      <c r="M5" s="26"/>
      <c r="N5" s="26"/>
      <c r="O5" s="26"/>
      <c r="P5" s="348"/>
      <c r="Q5" s="365"/>
      <c r="R5" s="371"/>
    </row>
    <row r="6" spans="1:18" ht="27.95">
      <c r="A6" s="27" t="s">
        <v>6</v>
      </c>
      <c r="B6" s="21">
        <v>298491</v>
      </c>
      <c r="C6" s="21"/>
      <c r="D6" s="21">
        <v>180560</v>
      </c>
      <c r="E6" s="21"/>
      <c r="F6" s="21">
        <v>26853</v>
      </c>
      <c r="G6" s="21"/>
      <c r="H6" s="28"/>
      <c r="I6" s="808">
        <f t="shared" ref="I6:I11" si="0">(B6-D6)/D6</f>
        <v>0.65314023039432878</v>
      </c>
      <c r="J6" s="808">
        <f t="shared" ref="J6:J11" si="1">(D6-F6)/F6</f>
        <v>5.7240159386288312</v>
      </c>
      <c r="K6" s="29"/>
      <c r="L6" s="792">
        <f>B6/$B$20</f>
        <v>0.20873598681951591</v>
      </c>
      <c r="M6" s="792">
        <f>D6/$D$20</f>
        <v>0.12708574839189651</v>
      </c>
      <c r="N6" s="792">
        <f>F6/$F$20</f>
        <v>1.9363505780280132E-2</v>
      </c>
      <c r="O6" s="30"/>
      <c r="P6" s="817">
        <f>(B6-$F6)/$F6</f>
        <v>10.115741257960005</v>
      </c>
      <c r="Q6" s="373"/>
      <c r="R6" s="371"/>
    </row>
    <row r="7" spans="1:18" ht="23.25">
      <c r="A7" s="343" t="s">
        <v>7</v>
      </c>
      <c r="B7" s="21"/>
      <c r="C7" s="21"/>
      <c r="D7" s="21"/>
      <c r="E7" s="21"/>
      <c r="F7" s="21">
        <v>39468</v>
      </c>
      <c r="G7" s="21"/>
      <c r="H7" s="31"/>
      <c r="I7" s="787">
        <f>IFERROR((B7-D7)/D7,0)</f>
        <v>0</v>
      </c>
      <c r="J7" s="788">
        <f t="shared" si="1"/>
        <v>-1</v>
      </c>
      <c r="K7" s="30"/>
      <c r="L7" s="789">
        <f>B7/$B$20</f>
        <v>0</v>
      </c>
      <c r="M7" s="791">
        <f>D7/$D$20</f>
        <v>0</v>
      </c>
      <c r="N7" s="791">
        <f>F7/$F$20</f>
        <v>2.8460091838382905E-2</v>
      </c>
      <c r="O7" s="30"/>
      <c r="P7" s="817">
        <f t="shared" ref="P7:P20" si="2">(B7-$F7)/$F7</f>
        <v>-1</v>
      </c>
      <c r="Q7" s="373"/>
      <c r="R7" s="371"/>
    </row>
    <row r="8" spans="1:18" ht="14.1">
      <c r="A8" s="27" t="s">
        <v>8</v>
      </c>
      <c r="B8" s="21">
        <v>66997</v>
      </c>
      <c r="C8" s="21"/>
      <c r="D8" s="21">
        <v>56672</v>
      </c>
      <c r="E8" s="21"/>
      <c r="F8" s="21">
        <v>55022</v>
      </c>
      <c r="G8" s="21"/>
      <c r="H8" s="31"/>
      <c r="I8" s="791">
        <f t="shared" si="0"/>
        <v>0.1821887351778656</v>
      </c>
      <c r="J8" s="793">
        <f t="shared" si="1"/>
        <v>2.9988004798080767E-2</v>
      </c>
      <c r="K8" s="30"/>
      <c r="L8" s="789">
        <f>B8/$B$20</f>
        <v>4.6851278292970665E-2</v>
      </c>
      <c r="M8" s="789">
        <f>D8/$D$20</f>
        <v>3.9888145396907174E-2</v>
      </c>
      <c r="N8" s="789">
        <f>F8/$F$20</f>
        <v>3.9675969725638603E-2</v>
      </c>
      <c r="O8" s="30"/>
      <c r="P8" s="817">
        <f t="shared" si="2"/>
        <v>0.21764021664061647</v>
      </c>
      <c r="Q8" s="373"/>
      <c r="R8" s="371"/>
    </row>
    <row r="9" spans="1:18" ht="14.1">
      <c r="A9" s="27" t="s">
        <v>9</v>
      </c>
      <c r="B9" s="21">
        <v>115773</v>
      </c>
      <c r="C9" s="21"/>
      <c r="D9" s="21">
        <v>148450</v>
      </c>
      <c r="E9" s="21"/>
      <c r="F9" s="21">
        <v>149118</v>
      </c>
      <c r="G9" s="21"/>
      <c r="H9" s="28"/>
      <c r="I9" s="808">
        <f t="shared" si="0"/>
        <v>-0.22012125294712023</v>
      </c>
      <c r="J9" s="788">
        <f t="shared" si="1"/>
        <v>-4.4796738153676952E-3</v>
      </c>
      <c r="K9" s="30"/>
      <c r="L9" s="791">
        <f>B9/$B$20</f>
        <v>8.0960536170456773E-2</v>
      </c>
      <c r="M9" s="791">
        <f>D9/$D$20</f>
        <v>0.10448537521475985</v>
      </c>
      <c r="N9" s="789">
        <f>F9/$F$20</f>
        <v>0.10752792071440109</v>
      </c>
      <c r="O9" s="30"/>
      <c r="P9" s="819">
        <f t="shared" si="2"/>
        <v>-0.2236148553494548</v>
      </c>
      <c r="Q9" s="373"/>
      <c r="R9" s="371"/>
    </row>
    <row r="10" spans="1:18" ht="23.25">
      <c r="A10" s="35" t="s">
        <v>10</v>
      </c>
      <c r="B10" s="36">
        <f>20538+1711</f>
        <v>22249</v>
      </c>
      <c r="C10" s="36"/>
      <c r="D10" s="36">
        <f>27461+10126</f>
        <v>37587</v>
      </c>
      <c r="E10" s="37"/>
      <c r="F10" s="36">
        <f>21462+53418</f>
        <v>74880</v>
      </c>
      <c r="G10" s="37"/>
      <c r="H10" s="38"/>
      <c r="I10" s="790">
        <f t="shared" si="0"/>
        <v>-0.4080666187777689</v>
      </c>
      <c r="J10" s="790">
        <f t="shared" si="1"/>
        <v>-0.49803685897435895</v>
      </c>
      <c r="K10" s="39"/>
      <c r="L10" s="40">
        <f>B10/$B$20</f>
        <v>1.5558817420784576E-2</v>
      </c>
      <c r="M10" s="40">
        <f>D10/D20</f>
        <v>2.6455316929586921E-2</v>
      </c>
      <c r="N10" s="40">
        <f>F10/F20</f>
        <v>5.399543115582528E-2</v>
      </c>
      <c r="O10" s="40"/>
      <c r="P10" s="350">
        <f t="shared" si="2"/>
        <v>-0.70287126068376071</v>
      </c>
      <c r="Q10" s="374"/>
      <c r="R10" s="379" t="s">
        <v>11</v>
      </c>
    </row>
    <row r="11" spans="1:18" s="428" customFormat="1" ht="15" thickBot="1">
      <c r="A11" s="566" t="s">
        <v>12</v>
      </c>
      <c r="B11" s="567">
        <f>SUM(B6:B10)</f>
        <v>503510</v>
      </c>
      <c r="C11" s="568"/>
      <c r="D11" s="567">
        <f>SUM(D6:D10)</f>
        <v>423269</v>
      </c>
      <c r="E11" s="569"/>
      <c r="F11" s="567">
        <f>SUM(F6:F10)</f>
        <v>345341</v>
      </c>
      <c r="G11" s="569"/>
      <c r="H11" s="471"/>
      <c r="I11" s="472">
        <f t="shared" si="0"/>
        <v>0.18957447864124233</v>
      </c>
      <c r="J11" s="473">
        <f t="shared" si="1"/>
        <v>0.22565522194005344</v>
      </c>
      <c r="K11" s="570"/>
      <c r="L11" s="829">
        <f>B11/$B$20</f>
        <v>0.35210661870372795</v>
      </c>
      <c r="M11" s="809">
        <f>D11/$D$20</f>
        <v>0.29791458593315046</v>
      </c>
      <c r="N11" s="810">
        <f>F11/$F$20</f>
        <v>0.24902291921452799</v>
      </c>
      <c r="O11" s="571"/>
      <c r="P11" s="477">
        <f t="shared" si="2"/>
        <v>0.45800817163325525</v>
      </c>
      <c r="Q11" s="572"/>
      <c r="R11" s="439"/>
    </row>
    <row r="12" spans="1:18" ht="14.1">
      <c r="A12" s="44" t="s">
        <v>13</v>
      </c>
      <c r="B12" s="45"/>
      <c r="C12" s="45"/>
      <c r="D12" s="45"/>
      <c r="E12" s="46"/>
      <c r="F12" s="45"/>
      <c r="G12" s="46"/>
      <c r="H12" s="47"/>
      <c r="I12" s="48"/>
      <c r="J12" s="49"/>
      <c r="K12" s="50"/>
      <c r="L12" s="51"/>
      <c r="M12" s="52"/>
      <c r="N12" s="53"/>
      <c r="O12" s="54"/>
      <c r="P12" s="351"/>
      <c r="Q12" s="368"/>
      <c r="R12" s="371"/>
    </row>
    <row r="13" spans="1:18" ht="14.1">
      <c r="A13" s="55" t="s">
        <v>14</v>
      </c>
      <c r="B13" s="21">
        <v>642509</v>
      </c>
      <c r="C13" s="21"/>
      <c r="D13" s="21">
        <v>667909</v>
      </c>
      <c r="E13" s="21"/>
      <c r="F13" s="21">
        <v>664815</v>
      </c>
      <c r="G13" s="21"/>
      <c r="H13" s="31"/>
      <c r="I13" s="791">
        <f t="shared" ref="I13:I20" si="3">(B13-D13)/D13</f>
        <v>-3.8029132711192695E-2</v>
      </c>
      <c r="J13" s="791">
        <f t="shared" ref="J13:J20" si="4">(D13-F13)/F13</f>
        <v>4.6539262802433763E-3</v>
      </c>
      <c r="K13" s="30"/>
      <c r="L13" s="791">
        <f>B13/$B$20</f>
        <v>0.44930919242262024</v>
      </c>
      <c r="M13" s="791">
        <f>D13/$D$20</f>
        <v>0.47010254277073116</v>
      </c>
      <c r="N13" s="789">
        <f>F13/$F$20</f>
        <v>0.479393330179754</v>
      </c>
      <c r="O13" s="30"/>
      <c r="P13" s="819">
        <f t="shared" si="2"/>
        <v>-3.3552191211088801E-2</v>
      </c>
      <c r="Q13" s="374"/>
      <c r="R13" s="371"/>
    </row>
    <row r="14" spans="1:18" ht="12.75" customHeight="1">
      <c r="A14" s="55" t="s">
        <v>15</v>
      </c>
      <c r="B14" s="21">
        <v>35559</v>
      </c>
      <c r="C14" s="21"/>
      <c r="D14" s="21">
        <v>43768</v>
      </c>
      <c r="E14" s="21"/>
      <c r="F14" s="21">
        <v>52774</v>
      </c>
      <c r="G14" s="21"/>
      <c r="H14" s="694"/>
      <c r="I14" s="791">
        <f t="shared" ref="I14" si="5">(B14-D14)/D14</f>
        <v>-0.18755711935660757</v>
      </c>
      <c r="J14" s="791">
        <f t="shared" ref="J14" si="6">(D14-F14)/F14</f>
        <v>-0.17065221510592338</v>
      </c>
      <c r="K14" s="30"/>
      <c r="L14" s="791">
        <f>B14/$B$20</f>
        <v>2.4866555290830095E-2</v>
      </c>
      <c r="M14" s="791">
        <f>D14/$D$20</f>
        <v>3.0805765593799994E-2</v>
      </c>
      <c r="N14" s="791">
        <f>F14/$F$20</f>
        <v>3.8054953042434871E-2</v>
      </c>
      <c r="O14" s="30"/>
      <c r="P14" s="819">
        <f t="shared" ref="P14" si="7">(B14-$F14)/$F14</f>
        <v>-0.32620229658543981</v>
      </c>
      <c r="Q14" s="374"/>
      <c r="R14" s="371"/>
    </row>
    <row r="15" spans="1:18" ht="12.75" customHeight="1">
      <c r="A15" s="27" t="s">
        <v>16</v>
      </c>
      <c r="B15" s="21">
        <v>112529</v>
      </c>
      <c r="C15" s="21"/>
      <c r="D15" s="21">
        <v>112529</v>
      </c>
      <c r="E15" s="21"/>
      <c r="F15" s="21">
        <v>112529</v>
      </c>
      <c r="G15" s="21"/>
      <c r="H15" s="28"/>
      <c r="I15" s="822">
        <f t="shared" si="3"/>
        <v>0</v>
      </c>
      <c r="J15" s="822">
        <f t="shared" si="4"/>
        <v>0</v>
      </c>
      <c r="K15" s="29"/>
      <c r="L15" s="30">
        <f>B15/$B$20</f>
        <v>7.8691993597171453E-2</v>
      </c>
      <c r="M15" s="30">
        <f>D15/$D$20</f>
        <v>7.9202659397384384E-2</v>
      </c>
      <c r="N15" s="30">
        <f>F15/$F$20</f>
        <v>8.1143855135334703E-2</v>
      </c>
      <c r="O15" s="30"/>
      <c r="P15" s="349">
        <f t="shared" si="2"/>
        <v>0</v>
      </c>
      <c r="Q15" s="374"/>
      <c r="R15" s="371"/>
    </row>
    <row r="16" spans="1:18" ht="35.25" hidden="1">
      <c r="A16" s="343" t="s">
        <v>17</v>
      </c>
      <c r="B16" s="21">
        <v>0</v>
      </c>
      <c r="C16" s="21"/>
      <c r="D16" s="21">
        <v>0</v>
      </c>
      <c r="E16" s="21"/>
      <c r="F16" s="21">
        <v>0</v>
      </c>
      <c r="G16" s="21"/>
      <c r="H16" s="28"/>
      <c r="I16" s="794">
        <f>IFERROR((B16-D16)/D16,0)</f>
        <v>0</v>
      </c>
      <c r="J16" s="788">
        <f>IFERROR((D16-F16)/F16,0)</f>
        <v>0</v>
      </c>
      <c r="K16" s="29"/>
      <c r="L16" s="30">
        <f>B16/B20</f>
        <v>0</v>
      </c>
      <c r="M16" s="30">
        <f>D16/$D$20</f>
        <v>0</v>
      </c>
      <c r="N16" s="30">
        <f>F16/$F$20</f>
        <v>0</v>
      </c>
      <c r="O16" s="30"/>
      <c r="P16" s="349">
        <f>IFERROR((B16-$F16)/$F16,0)</f>
        <v>0</v>
      </c>
      <c r="Q16" s="374"/>
      <c r="R16" s="371"/>
    </row>
    <row r="17" spans="1:18" ht="14.1">
      <c r="A17" s="27" t="s">
        <v>18</v>
      </c>
      <c r="B17" s="56">
        <v>59644</v>
      </c>
      <c r="C17" s="56"/>
      <c r="D17" s="56">
        <v>76324</v>
      </c>
      <c r="E17" s="21"/>
      <c r="F17" s="56">
        <v>103677</v>
      </c>
      <c r="G17" s="21"/>
      <c r="H17" s="57"/>
      <c r="I17" s="823">
        <f t="shared" si="3"/>
        <v>-0.21854200513599917</v>
      </c>
      <c r="J17" s="823">
        <f t="shared" si="4"/>
        <v>-0.26382900739797643</v>
      </c>
      <c r="K17" s="58"/>
      <c r="L17" s="838">
        <f>B17/B20</f>
        <v>4.1709295080465426E-2</v>
      </c>
      <c r="M17" s="811">
        <f>D17/$D$20</f>
        <v>5.372005239401368E-2</v>
      </c>
      <c r="N17" s="811">
        <f>F17/$F$20</f>
        <v>7.4760741398804717E-2</v>
      </c>
      <c r="O17" s="59"/>
      <c r="P17" s="819">
        <f t="shared" si="2"/>
        <v>-0.42471329224418147</v>
      </c>
      <c r="Q17" s="374"/>
      <c r="R17" s="371"/>
    </row>
    <row r="18" spans="1:18" ht="12.75">
      <c r="A18" s="481" t="s">
        <v>19</v>
      </c>
      <c r="B18" s="334">
        <v>33581</v>
      </c>
      <c r="C18" s="334"/>
      <c r="D18" s="334">
        <v>61339</v>
      </c>
      <c r="E18" s="305"/>
      <c r="F18" s="334">
        <v>88294</v>
      </c>
      <c r="G18" s="305"/>
      <c r="H18" s="480"/>
      <c r="I18" s="823">
        <f t="shared" ref="I18" si="8">(B18-D18)/D18</f>
        <v>-0.45253427672443308</v>
      </c>
      <c r="J18" s="823">
        <f t="shared" ref="J18" si="9">(D18-F18)/F18</f>
        <v>-0.30528688246086938</v>
      </c>
      <c r="K18" s="58"/>
      <c r="L18" s="811">
        <f>B18/B20</f>
        <v>2.3483331736588921E-2</v>
      </c>
      <c r="M18" s="811">
        <f>D18/$D$20</f>
        <v>4.3172976963948499E-2</v>
      </c>
      <c r="N18" s="811">
        <f>F18/$F$20</f>
        <v>6.3668170385582756E-2</v>
      </c>
      <c r="O18" s="59"/>
      <c r="P18" s="819">
        <f t="shared" ref="P18" si="10">(B18-$F18)/$F18</f>
        <v>-0.61966838063741592</v>
      </c>
      <c r="Q18" s="374"/>
      <c r="R18" s="379" t="s">
        <v>11</v>
      </c>
    </row>
    <row r="19" spans="1:18" ht="12.75">
      <c r="A19" s="60" t="s">
        <v>20</v>
      </c>
      <c r="B19" s="61">
        <v>42661</v>
      </c>
      <c r="C19" s="61"/>
      <c r="D19" s="61">
        <v>35635</v>
      </c>
      <c r="E19" s="37"/>
      <c r="F19" s="61">
        <v>19354</v>
      </c>
      <c r="G19" s="37"/>
      <c r="H19" s="62"/>
      <c r="I19" s="824">
        <f t="shared" si="3"/>
        <v>0.19716570787147467</v>
      </c>
      <c r="J19" s="825">
        <f t="shared" si="4"/>
        <v>0.84122145292962691</v>
      </c>
      <c r="K19" s="63"/>
      <c r="L19" s="816">
        <f>B19/$B$20</f>
        <v>2.9833013168595931E-2</v>
      </c>
      <c r="M19" s="839">
        <f>D19/$D$20</f>
        <v>2.5081416946971826E-2</v>
      </c>
      <c r="N19" s="839">
        <f>F19/$F$20</f>
        <v>1.395603064356093E-2</v>
      </c>
      <c r="O19" s="64"/>
      <c r="P19" s="818">
        <f t="shared" si="2"/>
        <v>1.204247184044642</v>
      </c>
      <c r="Q19" s="374"/>
      <c r="R19" s="371"/>
    </row>
    <row r="20" spans="1:18" s="428" customFormat="1" ht="12.75">
      <c r="A20" s="467" t="s">
        <v>21</v>
      </c>
      <c r="B20" s="468">
        <f>SUM(B11:B19)</f>
        <v>1429993</v>
      </c>
      <c r="C20" s="469"/>
      <c r="D20" s="469">
        <f>SUM(D11:D19)</f>
        <v>1420773</v>
      </c>
      <c r="E20" s="470"/>
      <c r="F20" s="469">
        <f>SUM(F11:F19)</f>
        <v>1386784</v>
      </c>
      <c r="G20" s="470"/>
      <c r="H20" s="471"/>
      <c r="I20" s="806">
        <f t="shared" si="3"/>
        <v>6.4894251228028686E-3</v>
      </c>
      <c r="J20" s="807">
        <f t="shared" si="4"/>
        <v>2.4509224219489121E-2</v>
      </c>
      <c r="K20" s="474"/>
      <c r="L20" s="475">
        <f>SUM(L11:L19)</f>
        <v>1</v>
      </c>
      <c r="M20" s="475">
        <f>SUM(M11:M19)</f>
        <v>1</v>
      </c>
      <c r="N20" s="475">
        <f>SUM(N11:N19)</f>
        <v>1</v>
      </c>
      <c r="O20" s="476"/>
      <c r="P20" s="477">
        <f t="shared" si="2"/>
        <v>3.115770011768235E-2</v>
      </c>
      <c r="Q20" s="478"/>
      <c r="R20" s="479"/>
    </row>
    <row r="21" spans="1:18" ht="14.1" thickTop="1">
      <c r="B21" s="67"/>
      <c r="C21" s="67"/>
      <c r="D21" s="67"/>
      <c r="E21" s="68"/>
      <c r="F21" s="67"/>
      <c r="G21" s="68"/>
      <c r="H21" s="69"/>
      <c r="I21" s="70"/>
      <c r="J21" s="71"/>
      <c r="K21" s="72"/>
      <c r="L21" s="380" t="s">
        <v>22</v>
      </c>
      <c r="M21" s="380" t="s">
        <v>22</v>
      </c>
      <c r="N21" s="380" t="s">
        <v>22</v>
      </c>
      <c r="O21" s="73"/>
      <c r="P21" s="352"/>
      <c r="Q21" s="375"/>
      <c r="R21" s="371"/>
    </row>
    <row r="22" spans="1:18" ht="14.1">
      <c r="A22" s="19" t="s">
        <v>23</v>
      </c>
      <c r="B22" s="20"/>
      <c r="C22" s="20"/>
      <c r="D22" s="20"/>
      <c r="E22" s="21"/>
      <c r="F22" s="20"/>
      <c r="G22" s="21"/>
      <c r="H22" s="74"/>
      <c r="I22" s="75"/>
      <c r="J22" s="33"/>
      <c r="K22" s="25"/>
      <c r="L22" s="26"/>
      <c r="M22" s="26"/>
      <c r="N22" s="26"/>
      <c r="O22" s="26"/>
      <c r="P22" s="348"/>
      <c r="Q22" s="365"/>
      <c r="R22" s="371"/>
    </row>
    <row r="23" spans="1:18" ht="14.1">
      <c r="A23" s="343" t="s">
        <v>24</v>
      </c>
      <c r="B23" s="21">
        <v>87245</v>
      </c>
      <c r="C23" s="21"/>
      <c r="D23" s="21">
        <v>84248</v>
      </c>
      <c r="E23" s="21"/>
      <c r="F23" s="21">
        <v>85920</v>
      </c>
      <c r="G23" s="21"/>
      <c r="H23" s="28"/>
      <c r="I23" s="788">
        <f t="shared" ref="I23:I34" si="11">(B23-D23)/D23</f>
        <v>3.5573544772576203E-2</v>
      </c>
      <c r="J23" s="788">
        <f t="shared" ref="J23:J34" si="12">(D23-F23)/F23</f>
        <v>-1.9459962756052142E-2</v>
      </c>
      <c r="K23" s="29"/>
      <c r="L23" s="789">
        <f t="shared" ref="L23:L34" si="13">B23/$B$20</f>
        <v>6.1010788164697308E-2</v>
      </c>
      <c r="M23" s="789">
        <f t="shared" ref="M23:M34" si="14">D23/$D$20</f>
        <v>5.9297298020162266E-2</v>
      </c>
      <c r="N23" s="789">
        <f t="shared" ref="N23:N34" si="15">F23/$F$20</f>
        <v>6.195629600572259E-2</v>
      </c>
      <c r="O23" s="30"/>
      <c r="P23" s="350">
        <f>(B23-$F23)/$F23</f>
        <v>1.5421322160148975E-2</v>
      </c>
      <c r="Q23" s="374"/>
      <c r="R23" s="371"/>
    </row>
    <row r="24" spans="1:18" ht="14.1">
      <c r="A24" s="343" t="s">
        <v>25</v>
      </c>
      <c r="B24" s="21">
        <v>126930</v>
      </c>
      <c r="C24" s="21"/>
      <c r="D24" s="21">
        <v>111153</v>
      </c>
      <c r="E24" s="21"/>
      <c r="F24" s="21">
        <v>161552</v>
      </c>
      <c r="G24" s="21"/>
      <c r="H24" s="28"/>
      <c r="I24" s="788">
        <f t="shared" si="11"/>
        <v>0.14193948881271762</v>
      </c>
      <c r="J24" s="788">
        <f t="shared" si="12"/>
        <v>-0.31196766366247403</v>
      </c>
      <c r="K24" s="29"/>
      <c r="L24" s="791">
        <f t="shared" si="13"/>
        <v>8.876267226482927E-2</v>
      </c>
      <c r="M24" s="791">
        <f t="shared" si="14"/>
        <v>7.8234172524393408E-2</v>
      </c>
      <c r="N24" s="791">
        <f t="shared" si="15"/>
        <v>0.11649398897016407</v>
      </c>
      <c r="O24" s="30"/>
      <c r="P24" s="820">
        <f t="shared" ref="P24:P46" si="16">(B24-$F24)/$F24</f>
        <v>-0.21430870555610576</v>
      </c>
      <c r="Q24" s="374"/>
      <c r="R24" s="371"/>
    </row>
    <row r="25" spans="1:18" ht="14.1" hidden="1">
      <c r="A25" s="343" t="s">
        <v>26</v>
      </c>
      <c r="B25" s="21"/>
      <c r="C25" s="21"/>
      <c r="D25" s="21"/>
      <c r="E25" s="21"/>
      <c r="F25" s="21"/>
      <c r="G25" s="21"/>
      <c r="H25" s="28"/>
      <c r="I25" s="33" t="e">
        <f t="shared" ref="I25" si="17">(B25-D25)/D25</f>
        <v>#DIV/0!</v>
      </c>
      <c r="J25" s="33" t="e">
        <f t="shared" ref="J25" si="18">(D25-F25)/F25</f>
        <v>#DIV/0!</v>
      </c>
      <c r="K25" s="29"/>
      <c r="L25" s="30">
        <f t="shared" ref="L25" si="19">B25/$B$20</f>
        <v>0</v>
      </c>
      <c r="M25" s="30">
        <f t="shared" ref="M25" si="20">D25/$D$20</f>
        <v>0</v>
      </c>
      <c r="N25" s="30">
        <f t="shared" ref="N25" si="21">F25/$F$20</f>
        <v>0</v>
      </c>
      <c r="O25" s="30"/>
      <c r="P25" s="350" t="e">
        <f t="shared" si="16"/>
        <v>#DIV/0!</v>
      </c>
      <c r="Q25" s="374"/>
      <c r="R25" s="371"/>
    </row>
    <row r="26" spans="1:18" ht="14.1" hidden="1">
      <c r="A26" s="27" t="s">
        <v>27</v>
      </c>
      <c r="B26" s="21"/>
      <c r="C26" s="21"/>
      <c r="D26" s="21"/>
      <c r="E26" s="21"/>
      <c r="F26" s="21"/>
      <c r="G26" s="21"/>
      <c r="H26" s="28"/>
      <c r="I26" s="33" t="e">
        <f t="shared" si="11"/>
        <v>#DIV/0!</v>
      </c>
      <c r="J26" s="33" t="e">
        <f t="shared" si="12"/>
        <v>#DIV/0!</v>
      </c>
      <c r="K26" s="29"/>
      <c r="L26" s="30">
        <f t="shared" si="13"/>
        <v>0</v>
      </c>
      <c r="M26" s="30">
        <f t="shared" si="14"/>
        <v>0</v>
      </c>
      <c r="N26" s="30">
        <f t="shared" si="15"/>
        <v>0</v>
      </c>
      <c r="O26" s="30"/>
      <c r="P26" s="350" t="e">
        <f t="shared" si="16"/>
        <v>#DIV/0!</v>
      </c>
      <c r="Q26" s="374"/>
      <c r="R26" s="379" t="s">
        <v>11</v>
      </c>
    </row>
    <row r="27" spans="1:18" ht="14.1" hidden="1">
      <c r="A27" s="343" t="s">
        <v>28</v>
      </c>
      <c r="B27" s="21"/>
      <c r="C27" s="21"/>
      <c r="D27" s="21"/>
      <c r="E27" s="21"/>
      <c r="F27" s="21"/>
      <c r="G27" s="21"/>
      <c r="H27" s="28"/>
      <c r="I27" s="33" t="e">
        <f t="shared" si="11"/>
        <v>#DIV/0!</v>
      </c>
      <c r="J27" s="33" t="e">
        <f t="shared" si="12"/>
        <v>#DIV/0!</v>
      </c>
      <c r="K27" s="29"/>
      <c r="L27" s="59">
        <f t="shared" si="13"/>
        <v>0</v>
      </c>
      <c r="M27" s="30">
        <f t="shared" si="14"/>
        <v>0</v>
      </c>
      <c r="N27" s="30">
        <f t="shared" si="15"/>
        <v>0</v>
      </c>
      <c r="O27" s="30"/>
      <c r="P27" s="350" t="e">
        <f t="shared" si="16"/>
        <v>#DIV/0!</v>
      </c>
      <c r="Q27" s="374"/>
      <c r="R27" s="371"/>
    </row>
    <row r="28" spans="1:18" s="331" customFormat="1" ht="29.1" thickBot="1">
      <c r="A28" s="324" t="s">
        <v>29</v>
      </c>
      <c r="B28" s="325">
        <v>9113</v>
      </c>
      <c r="C28" s="325"/>
      <c r="D28" s="325">
        <v>8866</v>
      </c>
      <c r="E28" s="325"/>
      <c r="F28" s="325">
        <v>7634</v>
      </c>
      <c r="G28" s="325"/>
      <c r="H28" s="326"/>
      <c r="I28" s="327">
        <f t="shared" si="11"/>
        <v>2.7859237536656891E-2</v>
      </c>
      <c r="J28" s="327">
        <f t="shared" si="12"/>
        <v>0.16138328530259366</v>
      </c>
      <c r="K28" s="328"/>
      <c r="L28" s="329">
        <f t="shared" si="13"/>
        <v>6.3727584680484447E-3</v>
      </c>
      <c r="M28" s="330">
        <f t="shared" si="14"/>
        <v>6.2402649825130403E-3</v>
      </c>
      <c r="N28" s="330">
        <f t="shared" si="15"/>
        <v>5.5048226688510973E-3</v>
      </c>
      <c r="O28" s="330"/>
      <c r="P28" s="818">
        <f t="shared" si="16"/>
        <v>0.19373853811894157</v>
      </c>
      <c r="Q28" s="374"/>
      <c r="R28" s="377"/>
    </row>
    <row r="29" spans="1:18" s="581" customFormat="1" ht="15" thickBot="1">
      <c r="A29" s="573" t="s">
        <v>30</v>
      </c>
      <c r="B29" s="574">
        <f>SUM(B22:B28)</f>
        <v>223288</v>
      </c>
      <c r="C29" s="574"/>
      <c r="D29" s="574">
        <f>SUM(D22:D28)</f>
        <v>204267</v>
      </c>
      <c r="E29" s="574"/>
      <c r="F29" s="574">
        <f>SUM(F22:F28)</f>
        <v>255106</v>
      </c>
      <c r="G29" s="574"/>
      <c r="H29" s="575"/>
      <c r="I29" s="830">
        <f t="shared" si="11"/>
        <v>9.3118320629372336E-2</v>
      </c>
      <c r="J29" s="831">
        <f t="shared" si="12"/>
        <v>-0.19928578708458444</v>
      </c>
      <c r="K29" s="576"/>
      <c r="L29" s="840">
        <f t="shared" si="13"/>
        <v>0.15614621889757502</v>
      </c>
      <c r="M29" s="809">
        <f t="shared" si="14"/>
        <v>0.14377173552706871</v>
      </c>
      <c r="N29" s="810">
        <f t="shared" si="15"/>
        <v>0.18395510764473774</v>
      </c>
      <c r="O29" s="577"/>
      <c r="P29" s="578">
        <f t="shared" si="16"/>
        <v>-0.12472462427383127</v>
      </c>
      <c r="Q29" s="579"/>
      <c r="R29" s="580"/>
    </row>
    <row r="30" spans="1:18" ht="15" thickBot="1">
      <c r="A30" s="78" t="s">
        <v>31</v>
      </c>
      <c r="B30" s="45">
        <v>85721</v>
      </c>
      <c r="C30" s="45"/>
      <c r="D30" s="45">
        <v>96592</v>
      </c>
      <c r="E30" s="45"/>
      <c r="F30" s="45">
        <v>87495</v>
      </c>
      <c r="G30" s="45"/>
      <c r="H30" s="79"/>
      <c r="I30" s="832">
        <f t="shared" si="11"/>
        <v>-0.112545552426702</v>
      </c>
      <c r="J30" s="832">
        <f t="shared" si="12"/>
        <v>0.10397165552317275</v>
      </c>
      <c r="K30" s="50"/>
      <c r="L30" s="54">
        <f t="shared" si="13"/>
        <v>5.9945048682056488E-2</v>
      </c>
      <c r="M30" s="54">
        <f t="shared" si="14"/>
        <v>6.7985526188912654E-2</v>
      </c>
      <c r="N30" s="54">
        <f t="shared" si="15"/>
        <v>6.3092017213928056E-2</v>
      </c>
      <c r="O30" s="54"/>
      <c r="P30" s="388">
        <f t="shared" si="16"/>
        <v>-2.027544431110349E-2</v>
      </c>
      <c r="Q30" s="369"/>
      <c r="R30" s="379" t="s">
        <v>11</v>
      </c>
    </row>
    <row r="31" spans="1:18" ht="14.1" hidden="1">
      <c r="A31" s="345" t="s">
        <v>26</v>
      </c>
      <c r="B31" s="333"/>
      <c r="C31" s="333"/>
      <c r="D31" s="333"/>
      <c r="E31" s="333"/>
      <c r="F31" s="333"/>
      <c r="G31" s="333"/>
      <c r="H31" s="344"/>
      <c r="I31" s="71" t="e">
        <f t="shared" ref="I31" si="22">(B31-D31)/D31</f>
        <v>#DIV/0!</v>
      </c>
      <c r="J31" s="71" t="e">
        <f t="shared" ref="J31" si="23">(D31-F31)/F31</f>
        <v>#DIV/0!</v>
      </c>
      <c r="K31" s="50"/>
      <c r="L31" s="54">
        <f t="shared" ref="L31" si="24">B31/$B$20</f>
        <v>0</v>
      </c>
      <c r="M31" s="54">
        <f t="shared" ref="M31" si="25">D31/$D$20</f>
        <v>0</v>
      </c>
      <c r="N31" s="54">
        <f t="shared" ref="N31" si="26">F31/$F$20</f>
        <v>0</v>
      </c>
      <c r="O31" s="54"/>
      <c r="P31" s="353" t="e">
        <f t="shared" si="16"/>
        <v>#DIV/0!</v>
      </c>
      <c r="Q31" s="369"/>
      <c r="R31" s="371"/>
    </row>
    <row r="32" spans="1:18" ht="14.1">
      <c r="A32" s="27" t="s">
        <v>32</v>
      </c>
      <c r="B32" s="21">
        <v>6894</v>
      </c>
      <c r="C32" s="21"/>
      <c r="D32" s="21">
        <v>6091</v>
      </c>
      <c r="E32" s="21"/>
      <c r="F32" s="21">
        <v>6925</v>
      </c>
      <c r="G32" s="21"/>
      <c r="H32" s="31"/>
      <c r="I32" s="793">
        <f t="shared" si="11"/>
        <v>0.13183385322607125</v>
      </c>
      <c r="J32" s="788">
        <f t="shared" si="12"/>
        <v>-0.12043321299638989</v>
      </c>
      <c r="K32" s="58"/>
      <c r="L32" s="789">
        <f t="shared" si="13"/>
        <v>4.8210026202925469E-3</v>
      </c>
      <c r="M32" s="789">
        <f t="shared" si="14"/>
        <v>4.2871028658343028E-3</v>
      </c>
      <c r="N32" s="789">
        <f t="shared" si="15"/>
        <v>4.9935678519509889E-3</v>
      </c>
      <c r="O32" s="30"/>
      <c r="P32" s="350">
        <f t="shared" si="16"/>
        <v>-4.476534296028881E-3</v>
      </c>
      <c r="Q32" s="374"/>
      <c r="R32" s="371"/>
    </row>
    <row r="33" spans="1:18" s="331" customFormat="1" ht="15" thickBot="1">
      <c r="A33" s="565" t="s">
        <v>33</v>
      </c>
      <c r="B33" s="325">
        <v>36161</v>
      </c>
      <c r="C33" s="325"/>
      <c r="D33" s="325">
        <v>45274</v>
      </c>
      <c r="E33" s="325"/>
      <c r="F33" s="325">
        <v>53849</v>
      </c>
      <c r="G33" s="325"/>
      <c r="H33" s="326"/>
      <c r="I33" s="833">
        <f t="shared" si="11"/>
        <v>-0.20128550602995096</v>
      </c>
      <c r="J33" s="833">
        <f t="shared" si="12"/>
        <v>-0.15924158294490148</v>
      </c>
      <c r="K33" s="332"/>
      <c r="L33" s="815">
        <f t="shared" si="13"/>
        <v>2.528753637255567E-2</v>
      </c>
      <c r="M33" s="815">
        <f t="shared" si="14"/>
        <v>3.186575195333808E-2</v>
      </c>
      <c r="N33" s="815">
        <f t="shared" si="15"/>
        <v>3.8830127835337007E-2</v>
      </c>
      <c r="O33" s="330"/>
      <c r="P33" s="820">
        <f t="shared" si="16"/>
        <v>-0.32847406637077753</v>
      </c>
      <c r="Q33" s="374"/>
      <c r="R33" s="377"/>
    </row>
    <row r="34" spans="1:18" ht="15" thickBot="1">
      <c r="A34" s="76" t="s">
        <v>34</v>
      </c>
      <c r="B34" s="77">
        <f>SUM(B29:B33)</f>
        <v>352064</v>
      </c>
      <c r="C34" s="77"/>
      <c r="D34" s="77">
        <f>SUM(D29:D33)</f>
        <v>352224</v>
      </c>
      <c r="E34" s="77"/>
      <c r="F34" s="77">
        <f>SUM(F29:F33)</f>
        <v>403375</v>
      </c>
      <c r="G34" s="77"/>
      <c r="H34" s="42"/>
      <c r="I34" s="834">
        <f t="shared" si="11"/>
        <v>-4.5425638230217136E-4</v>
      </c>
      <c r="J34" s="835">
        <f t="shared" si="12"/>
        <v>-0.12680756120235512</v>
      </c>
      <c r="K34" s="43"/>
      <c r="L34" s="829">
        <f t="shared" si="13"/>
        <v>0.24619980657247972</v>
      </c>
      <c r="M34" s="809">
        <f t="shared" si="14"/>
        <v>0.24791011653515374</v>
      </c>
      <c r="N34" s="810">
        <f t="shared" si="15"/>
        <v>0.29087082054595381</v>
      </c>
      <c r="O34" s="386"/>
      <c r="P34" s="821">
        <f t="shared" si="16"/>
        <v>-0.12720421444065697</v>
      </c>
      <c r="Q34" s="387"/>
      <c r="R34" s="372"/>
    </row>
    <row r="35" spans="1:18" ht="14.1">
      <c r="A35" s="44" t="s">
        <v>35</v>
      </c>
      <c r="B35" s="45"/>
      <c r="C35" s="45"/>
      <c r="D35" s="45"/>
      <c r="E35" s="45"/>
      <c r="F35" s="45"/>
      <c r="G35" s="45"/>
      <c r="H35" s="47"/>
      <c r="I35" s="80"/>
      <c r="J35" s="71"/>
      <c r="K35" s="50"/>
      <c r="L35" s="54"/>
      <c r="M35" s="54"/>
      <c r="N35" s="54"/>
      <c r="O35" s="54"/>
      <c r="P35" s="353"/>
      <c r="Q35" s="369"/>
      <c r="R35" s="371"/>
    </row>
    <row r="36" spans="1:18" ht="27.95">
      <c r="A36" s="343" t="s">
        <v>36</v>
      </c>
      <c r="B36" s="21"/>
      <c r="C36" s="21"/>
      <c r="D36" s="21"/>
      <c r="E36" s="21"/>
      <c r="F36" s="21"/>
      <c r="G36" s="21"/>
      <c r="H36" s="28"/>
      <c r="I36" s="33">
        <f>IFERROR((B36-D36)/D36,0)</f>
        <v>0</v>
      </c>
      <c r="J36" s="33">
        <f>IFERROR((D36-F36)/F36,0)</f>
        <v>0</v>
      </c>
      <c r="K36" s="29"/>
      <c r="L36" s="30">
        <f>B36/$B$20</f>
        <v>0</v>
      </c>
      <c r="M36" s="30">
        <f>D36/$D$20</f>
        <v>0</v>
      </c>
      <c r="N36" s="30">
        <f>F36/$F$20</f>
        <v>0</v>
      </c>
      <c r="O36" s="30"/>
      <c r="P36" s="350" t="e">
        <f t="shared" si="16"/>
        <v>#DIV/0!</v>
      </c>
      <c r="Q36" s="374"/>
      <c r="R36" s="371"/>
    </row>
    <row r="37" spans="1:18" ht="23.25">
      <c r="A37" s="322" t="s">
        <v>37</v>
      </c>
      <c r="B37" s="21"/>
      <c r="C37" s="21"/>
      <c r="D37" s="21"/>
      <c r="E37" s="21"/>
      <c r="F37" s="21"/>
      <c r="G37" s="21"/>
      <c r="H37" s="28"/>
      <c r="I37" s="878">
        <f>IFERROR((B37-D37)/D37,0)</f>
        <v>0</v>
      </c>
      <c r="J37" s="33">
        <f>IFERROR((D37-F37)/F37,0)</f>
        <v>0</v>
      </c>
      <c r="K37" s="29"/>
      <c r="L37" s="30">
        <f>B37/$B$20</f>
        <v>0</v>
      </c>
      <c r="M37" s="30">
        <f>D37/$D$20</f>
        <v>0</v>
      </c>
      <c r="N37" s="30">
        <f>F37/$F$20</f>
        <v>0</v>
      </c>
      <c r="O37" s="30"/>
      <c r="P37" s="350" t="e">
        <f t="shared" si="16"/>
        <v>#DIV/0!</v>
      </c>
      <c r="Q37" s="374"/>
      <c r="R37" s="371"/>
    </row>
    <row r="38" spans="1:18" ht="14.1">
      <c r="A38" s="82" t="s">
        <v>38</v>
      </c>
      <c r="B38" s="21"/>
      <c r="C38" s="21"/>
      <c r="D38" s="21"/>
      <c r="E38" s="21"/>
      <c r="F38" s="21"/>
      <c r="G38" s="21"/>
      <c r="H38" s="28"/>
      <c r="I38" s="33"/>
      <c r="J38" s="33"/>
      <c r="K38" s="29"/>
      <c r="L38" s="30"/>
      <c r="M38" s="30"/>
      <c r="N38" s="30"/>
      <c r="O38" s="30"/>
      <c r="P38" s="350"/>
      <c r="Q38" s="374"/>
      <c r="R38" s="371"/>
    </row>
    <row r="39" spans="1:18" ht="12.75">
      <c r="A39" s="81" t="s">
        <v>39</v>
      </c>
      <c r="B39" s="21">
        <f>100+21</f>
        <v>121</v>
      </c>
      <c r="C39" s="21"/>
      <c r="D39" s="21">
        <f>102+21</f>
        <v>123</v>
      </c>
      <c r="E39" s="21"/>
      <c r="F39" s="21">
        <f>102+21</f>
        <v>123</v>
      </c>
      <c r="G39" s="21"/>
      <c r="H39" s="28"/>
      <c r="I39" s="826">
        <f t="shared" ref="I39:I46" si="27">(B39-D39)/D39</f>
        <v>-1.6260162601626018E-2</v>
      </c>
      <c r="J39" s="826">
        <f t="shared" ref="J39:J46" si="28">(D39-F39)/F39</f>
        <v>0</v>
      </c>
      <c r="K39" s="29"/>
      <c r="L39" s="30">
        <f t="shared" ref="L39:L44" si="29">B39/$B$20</f>
        <v>8.461579881859561E-5</v>
      </c>
      <c r="M39" s="30">
        <f t="shared" ref="M39:M45" si="30">D39/$D$20</f>
        <v>8.6572591117652152E-5</v>
      </c>
      <c r="N39" s="30">
        <f t="shared" ref="N39:N45" si="31">F39/$F$20</f>
        <v>8.869441816461684E-5</v>
      </c>
      <c r="O39" s="30"/>
      <c r="P39" s="350">
        <f t="shared" si="16"/>
        <v>-1.6260162601626018E-2</v>
      </c>
      <c r="Q39" s="374"/>
      <c r="R39" s="371"/>
    </row>
    <row r="40" spans="1:18" ht="14.1">
      <c r="A40" s="27" t="s">
        <v>40</v>
      </c>
      <c r="B40" s="21">
        <v>656297</v>
      </c>
      <c r="C40" s="21"/>
      <c r="D40" s="21">
        <v>629515</v>
      </c>
      <c r="E40" s="21"/>
      <c r="F40" s="21">
        <v>611622</v>
      </c>
      <c r="G40" s="21"/>
      <c r="H40" s="28"/>
      <c r="I40" s="33">
        <f t="shared" si="27"/>
        <v>4.2543863132729162E-2</v>
      </c>
      <c r="J40" s="33">
        <f t="shared" si="28"/>
        <v>2.9254997367655185E-2</v>
      </c>
      <c r="K40" s="29"/>
      <c r="L40" s="792">
        <f t="shared" si="29"/>
        <v>0.45895119766320536</v>
      </c>
      <c r="M40" s="792">
        <f t="shared" si="30"/>
        <v>0.44307922518234794</v>
      </c>
      <c r="N40" s="30">
        <f t="shared" si="31"/>
        <v>0.44103623924129498</v>
      </c>
      <c r="O40" s="30"/>
      <c r="P40" s="818">
        <f t="shared" si="16"/>
        <v>7.3043481104342223E-2</v>
      </c>
      <c r="Q40" s="374"/>
      <c r="R40" s="371"/>
    </row>
    <row r="41" spans="1:18" ht="14.1" hidden="1">
      <c r="A41" s="27" t="s">
        <v>41</v>
      </c>
      <c r="B41" s="21"/>
      <c r="C41" s="21"/>
      <c r="D41" s="21"/>
      <c r="E41" s="21"/>
      <c r="F41" s="21"/>
      <c r="G41" s="21"/>
      <c r="H41" s="31"/>
      <c r="I41" s="32" t="e">
        <f t="shared" si="27"/>
        <v>#DIV/0!</v>
      </c>
      <c r="J41" s="24" t="e">
        <f t="shared" si="28"/>
        <v>#DIV/0!</v>
      </c>
      <c r="K41" s="30"/>
      <c r="L41" s="30">
        <f t="shared" si="29"/>
        <v>0</v>
      </c>
      <c r="M41" s="30">
        <f t="shared" si="30"/>
        <v>0</v>
      </c>
      <c r="N41" s="30">
        <f t="shared" si="31"/>
        <v>0</v>
      </c>
      <c r="O41" s="30"/>
      <c r="P41" s="350" t="e">
        <f t="shared" si="16"/>
        <v>#DIV/0!</v>
      </c>
      <c r="Q41" s="374"/>
      <c r="R41" s="371"/>
    </row>
    <row r="42" spans="1:18" ht="14.1">
      <c r="A42" s="27" t="s">
        <v>42</v>
      </c>
      <c r="B42" s="21">
        <v>421568</v>
      </c>
      <c r="C42" s="21"/>
      <c r="D42" s="21">
        <v>439121</v>
      </c>
      <c r="E42" s="21"/>
      <c r="F42" s="21">
        <v>371858</v>
      </c>
      <c r="G42" s="21"/>
      <c r="H42" s="28"/>
      <c r="I42" s="812">
        <f t="shared" si="27"/>
        <v>-3.9973037044459273E-2</v>
      </c>
      <c r="J42" s="812">
        <f t="shared" si="28"/>
        <v>0.18088356308053075</v>
      </c>
      <c r="K42" s="29"/>
      <c r="L42" s="791">
        <f t="shared" si="29"/>
        <v>0.29480424030047697</v>
      </c>
      <c r="M42" s="791">
        <f t="shared" si="30"/>
        <v>0.30907189255426448</v>
      </c>
      <c r="N42" s="791">
        <f t="shared" si="31"/>
        <v>0.26814413780372431</v>
      </c>
      <c r="O42" s="30"/>
      <c r="P42" s="818">
        <f t="shared" si="16"/>
        <v>0.13368006066831964</v>
      </c>
      <c r="Q42" s="374"/>
      <c r="R42" s="371"/>
    </row>
    <row r="43" spans="1:18" ht="14.1">
      <c r="A43" s="27" t="s">
        <v>43</v>
      </c>
      <c r="B43" s="56">
        <v>-57</v>
      </c>
      <c r="C43" s="56"/>
      <c r="D43" s="56">
        <v>-210</v>
      </c>
      <c r="E43" s="21"/>
      <c r="F43" s="56">
        <v>-194</v>
      </c>
      <c r="G43" s="21"/>
      <c r="H43" s="83"/>
      <c r="I43" s="813">
        <f t="shared" si="27"/>
        <v>-0.72857142857142854</v>
      </c>
      <c r="J43" s="814">
        <f t="shared" si="28"/>
        <v>8.247422680412371E-2</v>
      </c>
      <c r="K43" s="58"/>
      <c r="L43" s="59">
        <f t="shared" si="29"/>
        <v>-3.9860334980660745E-5</v>
      </c>
      <c r="M43" s="59">
        <f t="shared" si="30"/>
        <v>-1.4780686288379634E-4</v>
      </c>
      <c r="N43" s="59">
        <f t="shared" si="31"/>
        <v>-1.3989200913768835E-4</v>
      </c>
      <c r="O43" s="59"/>
      <c r="P43" s="818">
        <f t="shared" si="16"/>
        <v>-0.70618556701030932</v>
      </c>
      <c r="Q43" s="374"/>
      <c r="R43" s="379" t="s">
        <v>11</v>
      </c>
    </row>
    <row r="44" spans="1:18" ht="15" thickBot="1">
      <c r="A44" s="84" t="s">
        <v>44</v>
      </c>
      <c r="B44" s="85">
        <f>SUM(B39:B43)</f>
        <v>1077929</v>
      </c>
      <c r="C44" s="85"/>
      <c r="D44" s="85">
        <f>SUM(D39:D43)</f>
        <v>1068549</v>
      </c>
      <c r="E44" s="21"/>
      <c r="F44" s="85">
        <f>SUM(F39:F43)</f>
        <v>983409</v>
      </c>
      <c r="G44" s="21"/>
      <c r="H44" s="86"/>
      <c r="I44" s="827">
        <f t="shared" si="27"/>
        <v>8.7782591158664693E-3</v>
      </c>
      <c r="J44" s="828">
        <f t="shared" si="28"/>
        <v>8.6576388867704079E-2</v>
      </c>
      <c r="K44" s="87"/>
      <c r="L44" s="88">
        <f t="shared" si="29"/>
        <v>0.75380019342752025</v>
      </c>
      <c r="M44" s="841">
        <f t="shared" si="30"/>
        <v>0.75208988346484629</v>
      </c>
      <c r="N44" s="841">
        <f t="shared" si="31"/>
        <v>0.70912917945404619</v>
      </c>
      <c r="O44" s="88"/>
      <c r="P44" s="382">
        <f t="shared" si="16"/>
        <v>9.6114637958367277E-2</v>
      </c>
      <c r="Q44" s="374"/>
    </row>
    <row r="45" spans="1:18" ht="15" thickBot="1">
      <c r="A45" s="89" t="s">
        <v>45</v>
      </c>
      <c r="B45" s="90">
        <f>B44+B37+B36</f>
        <v>1077929</v>
      </c>
      <c r="C45" s="90"/>
      <c r="D45" s="90">
        <f>D44+D37+D36</f>
        <v>1068549</v>
      </c>
      <c r="E45" s="91"/>
      <c r="F45" s="90">
        <f>F44+F36+F37</f>
        <v>983409</v>
      </c>
      <c r="G45" s="91"/>
      <c r="H45" s="92"/>
      <c r="I45" s="836">
        <f t="shared" si="27"/>
        <v>8.7782591158664693E-3</v>
      </c>
      <c r="J45" s="837">
        <f t="shared" si="28"/>
        <v>8.6576388867704079E-2</v>
      </c>
      <c r="K45" s="93"/>
      <c r="L45" s="842">
        <f>B45/B20</f>
        <v>0.75380019342752025</v>
      </c>
      <c r="M45" s="842">
        <f t="shared" si="30"/>
        <v>0.75208988346484629</v>
      </c>
      <c r="N45" s="842">
        <f t="shared" si="31"/>
        <v>0.70912917945404619</v>
      </c>
      <c r="O45" s="383"/>
      <c r="P45" s="385">
        <f t="shared" si="16"/>
        <v>9.6114637958367277E-2</v>
      </c>
      <c r="Q45" s="384"/>
      <c r="R45" s="372"/>
    </row>
    <row r="46" spans="1:18" s="389" customFormat="1" ht="15" thickBot="1">
      <c r="A46" s="76" t="s">
        <v>46</v>
      </c>
      <c r="B46" s="65">
        <f>B45+B34</f>
        <v>1429993</v>
      </c>
      <c r="C46" s="65"/>
      <c r="D46" s="65">
        <f>D45+D34</f>
        <v>1420773</v>
      </c>
      <c r="E46" s="65"/>
      <c r="F46" s="65">
        <f>F45+F34</f>
        <v>1386784</v>
      </c>
      <c r="G46" s="65"/>
      <c r="H46" s="42"/>
      <c r="I46" s="405">
        <f t="shared" si="27"/>
        <v>6.4894251228028686E-3</v>
      </c>
      <c r="J46" s="406">
        <f t="shared" si="28"/>
        <v>2.4509224219489121E-2</v>
      </c>
      <c r="K46" s="66"/>
      <c r="L46" s="414">
        <f>L45+L34</f>
        <v>1</v>
      </c>
      <c r="M46" s="414">
        <f>M45+M34</f>
        <v>1</v>
      </c>
      <c r="N46" s="414">
        <f>N45+N34</f>
        <v>1</v>
      </c>
      <c r="O46" s="381"/>
      <c r="P46" s="390">
        <f t="shared" si="16"/>
        <v>3.115770011768235E-2</v>
      </c>
      <c r="Q46" s="391"/>
      <c r="R46" s="392"/>
    </row>
    <row r="47" spans="1:18" ht="35.25">
      <c r="A47" s="94" t="s">
        <v>47</v>
      </c>
      <c r="B47" s="466">
        <f>B20-B46</f>
        <v>0</v>
      </c>
      <c r="C47" s="466"/>
      <c r="D47" s="466">
        <f>D20-D46</f>
        <v>0</v>
      </c>
      <c r="E47" s="466"/>
      <c r="F47" s="466">
        <f>F20-F46</f>
        <v>0</v>
      </c>
      <c r="G47" s="68"/>
      <c r="H47" s="397"/>
      <c r="I47" s="887" t="s">
        <v>48</v>
      </c>
      <c r="J47" s="888"/>
      <c r="K47" s="408"/>
      <c r="L47" s="887" t="s">
        <v>49</v>
      </c>
      <c r="M47" s="893"/>
      <c r="N47" s="894"/>
      <c r="O47" s="408"/>
      <c r="P47" s="887" t="s">
        <v>50</v>
      </c>
      <c r="Q47" s="893"/>
      <c r="R47" s="894"/>
    </row>
    <row r="48" spans="1:18" ht="14.1" thickBot="1">
      <c r="A48" s="95"/>
      <c r="B48" s="96"/>
      <c r="C48" s="96"/>
      <c r="D48" s="96"/>
      <c r="E48" s="96"/>
      <c r="F48" s="96"/>
      <c r="G48" s="9"/>
      <c r="H48" s="398"/>
      <c r="I48" s="889"/>
      <c r="J48" s="890"/>
      <c r="K48" s="295"/>
      <c r="L48" s="895"/>
      <c r="M48" s="896"/>
      <c r="N48" s="897"/>
      <c r="O48" s="295"/>
      <c r="P48" s="895"/>
      <c r="Q48" s="896"/>
      <c r="R48" s="897"/>
    </row>
    <row r="49" spans="1:18" ht="14.1" thickTop="1">
      <c r="A49" s="902" t="s">
        <v>51</v>
      </c>
      <c r="B49" s="1261"/>
      <c r="C49" s="1261"/>
      <c r="D49" s="903"/>
      <c r="E49" s="903"/>
      <c r="F49" s="904"/>
      <c r="G49" s="97"/>
      <c r="H49" s="399"/>
      <c r="I49" s="889"/>
      <c r="J49" s="890"/>
      <c r="K49" s="295"/>
      <c r="L49" s="895"/>
      <c r="M49" s="896"/>
      <c r="N49" s="897"/>
      <c r="O49" s="295"/>
      <c r="P49" s="895"/>
      <c r="Q49" s="896"/>
      <c r="R49" s="897"/>
    </row>
    <row r="50" spans="1:18">
      <c r="A50" s="905" t="s">
        <v>52</v>
      </c>
      <c r="B50" s="1262"/>
      <c r="C50" s="1262"/>
      <c r="D50" s="1262"/>
      <c r="E50" s="906"/>
      <c r="F50" s="906"/>
      <c r="G50" s="99"/>
      <c r="H50" s="359"/>
      <c r="I50" s="889"/>
      <c r="J50" s="890"/>
      <c r="K50" s="295"/>
      <c r="L50" s="895"/>
      <c r="M50" s="896"/>
      <c r="N50" s="897"/>
      <c r="O50" s="295"/>
      <c r="P50" s="895"/>
      <c r="Q50" s="896"/>
      <c r="R50" s="897"/>
    </row>
    <row r="51" spans="1:18" ht="14.1" thickBot="1">
      <c r="A51" s="907" t="s">
        <v>53</v>
      </c>
      <c r="B51" s="1263"/>
      <c r="C51" s="1263"/>
      <c r="D51" s="1263"/>
      <c r="E51" s="908"/>
      <c r="F51" s="908"/>
      <c r="G51" s="100"/>
      <c r="H51" s="400"/>
      <c r="I51" s="889"/>
      <c r="J51" s="890"/>
      <c r="K51" s="295"/>
      <c r="L51" s="895"/>
      <c r="M51" s="896"/>
      <c r="N51" s="897"/>
      <c r="O51" s="295"/>
      <c r="P51" s="895"/>
      <c r="Q51" s="896"/>
      <c r="R51" s="897"/>
    </row>
    <row r="52" spans="1:18" ht="15" thickTop="1">
      <c r="A52" s="583" t="s">
        <v>54</v>
      </c>
      <c r="B52" s="13">
        <f>B4</f>
        <v>2023</v>
      </c>
      <c r="C52" s="14"/>
      <c r="D52" s="13">
        <f>D4</f>
        <v>2022</v>
      </c>
      <c r="E52" s="101"/>
      <c r="F52" s="13">
        <f>F4</f>
        <v>2021</v>
      </c>
      <c r="G52" s="101"/>
      <c r="H52" s="401"/>
      <c r="I52" s="889"/>
      <c r="J52" s="890"/>
      <c r="K52" s="409"/>
      <c r="L52" s="895"/>
      <c r="M52" s="896"/>
      <c r="N52" s="897"/>
      <c r="O52" s="409"/>
      <c r="P52" s="895"/>
      <c r="Q52" s="896"/>
      <c r="R52" s="897"/>
    </row>
    <row r="53" spans="1:18" ht="14.1">
      <c r="A53" s="105" t="s">
        <v>55</v>
      </c>
      <c r="B53" s="106">
        <f>D62</f>
        <v>81816</v>
      </c>
      <c r="C53" s="106"/>
      <c r="D53" s="106">
        <f>F62</f>
        <v>14553</v>
      </c>
      <c r="E53" s="107"/>
      <c r="F53" s="394" t="s">
        <v>56</v>
      </c>
      <c r="G53" s="107"/>
      <c r="H53" s="393"/>
      <c r="I53" s="889"/>
      <c r="J53" s="890"/>
      <c r="K53" s="410"/>
      <c r="L53" s="895"/>
      <c r="M53" s="896"/>
      <c r="N53" s="897"/>
      <c r="O53" s="410"/>
      <c r="P53" s="895"/>
      <c r="Q53" s="896"/>
      <c r="R53" s="897"/>
    </row>
    <row r="54" spans="1:18" ht="14.1">
      <c r="A54" s="105" t="s">
        <v>57</v>
      </c>
      <c r="B54" s="107">
        <f>B85</f>
        <v>76250</v>
      </c>
      <c r="C54" s="107"/>
      <c r="D54" s="108">
        <f>D85</f>
        <v>67263</v>
      </c>
      <c r="E54" s="107"/>
      <c r="F54" s="108">
        <f>F85</f>
        <v>14553</v>
      </c>
      <c r="G54" s="107"/>
      <c r="H54" s="402"/>
      <c r="I54" s="889"/>
      <c r="J54" s="890"/>
      <c r="K54" s="411"/>
      <c r="L54" s="895"/>
      <c r="M54" s="896"/>
      <c r="N54" s="897"/>
      <c r="O54" s="411"/>
      <c r="P54" s="895"/>
      <c r="Q54" s="896"/>
      <c r="R54" s="897"/>
    </row>
    <row r="55" spans="1:18" ht="14.1">
      <c r="A55" s="105" t="s">
        <v>43</v>
      </c>
      <c r="B55" s="108"/>
      <c r="C55" s="108"/>
      <c r="D55" s="108"/>
      <c r="E55" s="108"/>
      <c r="F55" s="108"/>
      <c r="G55" s="108"/>
      <c r="H55" s="403"/>
      <c r="I55" s="889"/>
      <c r="J55" s="890"/>
      <c r="K55" s="412"/>
      <c r="L55" s="895"/>
      <c r="M55" s="896"/>
      <c r="N55" s="897"/>
      <c r="O55" s="412"/>
      <c r="P55" s="895"/>
      <c r="Q55" s="896"/>
      <c r="R55" s="897"/>
    </row>
    <row r="56" spans="1:18" ht="14.1">
      <c r="A56" s="105" t="s">
        <v>58</v>
      </c>
      <c r="B56" s="108"/>
      <c r="C56" s="108"/>
      <c r="D56" s="108"/>
      <c r="E56" s="108"/>
      <c r="F56" s="108"/>
      <c r="G56" s="108"/>
      <c r="H56" s="403"/>
      <c r="I56" s="889"/>
      <c r="J56" s="890"/>
      <c r="K56" s="412"/>
      <c r="L56" s="895"/>
      <c r="M56" s="896"/>
      <c r="N56" s="897"/>
      <c r="O56" s="412"/>
      <c r="P56" s="895"/>
      <c r="Q56" s="896"/>
      <c r="R56" s="897"/>
    </row>
    <row r="57" spans="1:18" ht="14.1">
      <c r="A57" s="105" t="s">
        <v>59</v>
      </c>
      <c r="B57" s="108"/>
      <c r="C57" s="108"/>
      <c r="D57" s="108"/>
      <c r="E57" s="108"/>
      <c r="F57" s="108"/>
      <c r="G57" s="108"/>
      <c r="H57" s="403"/>
      <c r="I57" s="889"/>
      <c r="J57" s="890"/>
      <c r="K57" s="412"/>
      <c r="L57" s="895"/>
      <c r="M57" s="896"/>
      <c r="N57" s="897"/>
      <c r="O57" s="412"/>
      <c r="P57" s="895"/>
      <c r="Q57" s="896"/>
      <c r="R57" s="897"/>
    </row>
    <row r="58" spans="1:18" ht="14.1">
      <c r="A58" s="105" t="s">
        <v>60</v>
      </c>
      <c r="B58" s="107"/>
      <c r="C58" s="107"/>
      <c r="D58" s="107"/>
      <c r="E58" s="107"/>
      <c r="F58" s="107"/>
      <c r="G58" s="107"/>
      <c r="H58" s="403"/>
      <c r="I58" s="889"/>
      <c r="J58" s="890"/>
      <c r="K58" s="412"/>
      <c r="L58" s="895"/>
      <c r="M58" s="896"/>
      <c r="N58" s="897"/>
      <c r="O58" s="412"/>
      <c r="P58" s="895"/>
      <c r="Q58" s="896"/>
      <c r="R58" s="897"/>
    </row>
    <row r="59" spans="1:18" ht="14.1">
      <c r="A59" s="105" t="s">
        <v>61</v>
      </c>
      <c r="B59" s="108"/>
      <c r="C59" s="108"/>
      <c r="D59" s="108"/>
      <c r="E59" s="108"/>
      <c r="F59" s="108"/>
      <c r="G59" s="108"/>
      <c r="H59" s="403"/>
      <c r="I59" s="889"/>
      <c r="J59" s="890"/>
      <c r="K59" s="412"/>
      <c r="L59" s="895"/>
      <c r="M59" s="896"/>
      <c r="N59" s="897"/>
      <c r="O59" s="412"/>
      <c r="P59" s="895"/>
      <c r="Q59" s="896"/>
      <c r="R59" s="897"/>
    </row>
    <row r="60" spans="1:18">
      <c r="A60" s="109"/>
      <c r="B60" s="108"/>
      <c r="C60" s="108"/>
      <c r="D60" s="108"/>
      <c r="E60" s="108"/>
      <c r="F60" s="108"/>
      <c r="G60" s="108"/>
      <c r="H60" s="403"/>
      <c r="I60" s="889"/>
      <c r="J60" s="890"/>
      <c r="K60" s="412"/>
      <c r="L60" s="895"/>
      <c r="M60" s="896"/>
      <c r="N60" s="897"/>
      <c r="O60" s="412"/>
      <c r="P60" s="895"/>
      <c r="Q60" s="896"/>
      <c r="R60" s="897"/>
    </row>
    <row r="61" spans="1:18" ht="14.1">
      <c r="A61" s="105" t="s">
        <v>62</v>
      </c>
      <c r="B61" s="107"/>
      <c r="C61" s="107"/>
      <c r="D61" s="107"/>
      <c r="E61" s="107"/>
      <c r="F61" s="107"/>
      <c r="G61" s="107"/>
      <c r="H61" s="403"/>
      <c r="I61" s="889"/>
      <c r="J61" s="890"/>
      <c r="K61" s="412"/>
      <c r="L61" s="895"/>
      <c r="M61" s="896"/>
      <c r="N61" s="897"/>
      <c r="O61" s="412"/>
      <c r="P61" s="895"/>
      <c r="Q61" s="896"/>
      <c r="R61" s="897"/>
    </row>
    <row r="62" spans="1:18" ht="29.1" thickBot="1">
      <c r="A62" s="110" t="s">
        <v>63</v>
      </c>
      <c r="B62" s="111">
        <f>SUM(B53:B61)</f>
        <v>158066</v>
      </c>
      <c r="C62" s="111"/>
      <c r="D62" s="111">
        <f>SUM(D53:D61)</f>
        <v>81816</v>
      </c>
      <c r="E62" s="111"/>
      <c r="F62" s="111">
        <f>SUM(F53:F61)</f>
        <v>14553</v>
      </c>
      <c r="G62" s="111"/>
      <c r="H62" s="404"/>
      <c r="I62" s="891"/>
      <c r="J62" s="892"/>
      <c r="K62" s="413"/>
      <c r="L62" s="898"/>
      <c r="M62" s="899"/>
      <c r="N62" s="900"/>
      <c r="O62" s="413"/>
      <c r="P62" s="898"/>
      <c r="Q62" s="899"/>
      <c r="R62" s="900"/>
    </row>
    <row r="63" spans="1:18" ht="14.1" thickBot="1">
      <c r="A63" s="582"/>
      <c r="B63" s="112"/>
      <c r="C63" s="112"/>
      <c r="D63" s="112"/>
      <c r="E63" s="112"/>
      <c r="F63" s="112"/>
      <c r="G63" s="113"/>
      <c r="H63" s="114"/>
      <c r="I63" s="407"/>
      <c r="J63" s="407"/>
      <c r="K63" s="113"/>
      <c r="L63" s="407"/>
      <c r="M63" s="407"/>
      <c r="N63" s="407"/>
      <c r="O63" s="113"/>
      <c r="P63" s="415"/>
      <c r="Q63" s="407"/>
      <c r="R63" s="416"/>
    </row>
    <row r="64" spans="1:18" ht="12.75">
      <c r="A64" s="883" t="s">
        <v>64</v>
      </c>
      <c r="B64" s="1249"/>
      <c r="C64" s="1249"/>
      <c r="D64" s="1249"/>
      <c r="E64" s="1249"/>
      <c r="F64" s="1264"/>
      <c r="G64" s="1265"/>
      <c r="H64" s="7"/>
      <c r="I64" s="883" t="s">
        <v>65</v>
      </c>
      <c r="J64" s="909"/>
      <c r="K64" s="910"/>
      <c r="L64" s="883" t="s">
        <v>66</v>
      </c>
      <c r="M64" s="1249"/>
      <c r="N64" s="1249"/>
      <c r="O64" s="115"/>
      <c r="P64" s="883" t="s">
        <v>67</v>
      </c>
      <c r="Q64" s="884"/>
      <c r="R64" s="1249"/>
    </row>
    <row r="65" spans="1:18" ht="15" thickTop="1" thickBot="1">
      <c r="A65" s="1251"/>
      <c r="B65" s="1252"/>
      <c r="C65" s="1252"/>
      <c r="D65" s="1252"/>
      <c r="E65" s="1252"/>
      <c r="F65" s="1266"/>
      <c r="G65" s="1251"/>
      <c r="H65" s="7"/>
      <c r="I65" s="911"/>
      <c r="J65" s="912"/>
      <c r="K65" s="913"/>
      <c r="L65" s="1251"/>
      <c r="M65" s="1252"/>
      <c r="N65" s="1252"/>
      <c r="O65" s="115"/>
      <c r="P65" s="1251"/>
      <c r="Q65" s="1254"/>
      <c r="R65" s="1252"/>
    </row>
    <row r="66" spans="1:18" ht="23.1" customHeight="1" thickTop="1" thickBot="1">
      <c r="A66" s="1256"/>
      <c r="B66" s="1257"/>
      <c r="C66" s="1257"/>
      <c r="D66" s="1257"/>
      <c r="E66" s="1257"/>
      <c r="F66" s="1267"/>
      <c r="G66" s="1256"/>
      <c r="H66" s="7"/>
      <c r="I66" s="914"/>
      <c r="J66" s="915"/>
      <c r="K66" s="916"/>
      <c r="L66" s="1256"/>
      <c r="M66" s="1257"/>
      <c r="N66" s="1257"/>
      <c r="O66" s="116"/>
      <c r="P66" s="1256"/>
      <c r="Q66" s="1259"/>
      <c r="R66" s="1268"/>
    </row>
    <row r="67" spans="1:18" ht="15" thickTop="1">
      <c r="A67" s="12" t="s">
        <v>68</v>
      </c>
      <c r="B67" s="13">
        <f>B4</f>
        <v>2023</v>
      </c>
      <c r="C67" s="14"/>
      <c r="D67" s="13">
        <f>D4</f>
        <v>2022</v>
      </c>
      <c r="E67" s="15"/>
      <c r="F67" s="13">
        <f>F4</f>
        <v>2021</v>
      </c>
      <c r="G67" s="15"/>
      <c r="H67" s="117"/>
      <c r="I67" s="13">
        <f>B67</f>
        <v>2023</v>
      </c>
      <c r="J67" s="13">
        <f>D67</f>
        <v>2022</v>
      </c>
      <c r="K67" s="14"/>
      <c r="L67" s="13">
        <f>B67</f>
        <v>2023</v>
      </c>
      <c r="M67" s="13">
        <f>D67</f>
        <v>2022</v>
      </c>
      <c r="N67" s="13">
        <f>F67</f>
        <v>2021</v>
      </c>
      <c r="O67" s="117"/>
      <c r="P67" s="363">
        <f>B4</f>
        <v>2023</v>
      </c>
      <c r="Q67" s="364"/>
      <c r="R67" s="370"/>
    </row>
    <row r="68" spans="1:18" ht="14.1">
      <c r="A68" s="27" t="s">
        <v>69</v>
      </c>
      <c r="B68" s="20">
        <v>2008625</v>
      </c>
      <c r="C68" s="20"/>
      <c r="D68" s="20">
        <v>2090334</v>
      </c>
      <c r="E68" s="21"/>
      <c r="F68" s="20">
        <v>2057622</v>
      </c>
      <c r="G68" s="21"/>
      <c r="H68" s="22"/>
      <c r="I68" s="795">
        <f t="shared" ref="I68:I77" si="32">(B68-D68)/D68</f>
        <v>-3.9088968557177944E-2</v>
      </c>
      <c r="J68" s="796">
        <f t="shared" ref="J68:J77" si="33">(D68-F68)/F68</f>
        <v>1.5897963765939518E-2</v>
      </c>
      <c r="K68" s="74"/>
      <c r="L68" s="860">
        <f t="shared" ref="L68:L77" si="34">B68/$B$68</f>
        <v>1</v>
      </c>
      <c r="M68" s="860">
        <f t="shared" ref="M68:M77" si="35">D68/$D$68</f>
        <v>1</v>
      </c>
      <c r="N68" s="860">
        <f t="shared" ref="N68:N77" si="36">F68/$F$68</f>
        <v>1</v>
      </c>
      <c r="O68" s="74"/>
      <c r="P68" s="861">
        <f>(B68-$F68)/$F68</f>
        <v>-2.3812439797008391E-2</v>
      </c>
      <c r="Q68" s="365"/>
      <c r="R68" s="371"/>
    </row>
    <row r="69" spans="1:18" ht="14.1">
      <c r="A69" s="27" t="s">
        <v>70</v>
      </c>
      <c r="B69" s="56">
        <v>1156256</v>
      </c>
      <c r="C69" s="56"/>
      <c r="D69" s="56">
        <v>1228348</v>
      </c>
      <c r="E69" s="21"/>
      <c r="F69" s="56">
        <v>1259830</v>
      </c>
      <c r="G69" s="21"/>
      <c r="H69" s="57"/>
      <c r="I69" s="799">
        <f t="shared" si="32"/>
        <v>-5.8690208312302379E-2</v>
      </c>
      <c r="J69" s="800">
        <f t="shared" si="33"/>
        <v>-2.4989085829040428E-2</v>
      </c>
      <c r="K69" s="119"/>
      <c r="L69" s="859">
        <f t="shared" si="34"/>
        <v>0.57564552865766383</v>
      </c>
      <c r="M69" s="859">
        <f t="shared" si="35"/>
        <v>0.58763240706987496</v>
      </c>
      <c r="N69" s="859">
        <f t="shared" si="36"/>
        <v>0.61227475211676397</v>
      </c>
      <c r="O69" s="336"/>
      <c r="P69" s="862">
        <f t="shared" ref="P69:P85" si="37">(B69-$F69)/$F69</f>
        <v>-8.2212679488502416E-2</v>
      </c>
      <c r="Q69" s="366"/>
      <c r="R69" s="371"/>
    </row>
    <row r="70" spans="1:18" ht="14.1">
      <c r="A70" s="84" t="s">
        <v>71</v>
      </c>
      <c r="B70" s="121">
        <f>B68-B69</f>
        <v>852369</v>
      </c>
      <c r="C70" s="121"/>
      <c r="D70" s="121">
        <f>D68-D69</f>
        <v>861986</v>
      </c>
      <c r="E70" s="122"/>
      <c r="F70" s="121">
        <f>F68-F69</f>
        <v>797792</v>
      </c>
      <c r="G70" s="122"/>
      <c r="H70" s="123"/>
      <c r="I70" s="797">
        <f t="shared" si="32"/>
        <v>-1.1156793729828559E-2</v>
      </c>
      <c r="J70" s="798">
        <f t="shared" si="33"/>
        <v>8.0464582247001731E-2</v>
      </c>
      <c r="K70" s="124"/>
      <c r="L70" s="802">
        <f>B70/$B$68</f>
        <v>0.42435447134233617</v>
      </c>
      <c r="M70" s="802">
        <f>D70/$D$68</f>
        <v>0.41236759293012504</v>
      </c>
      <c r="N70" s="802">
        <f>F70/$F$68</f>
        <v>0.38772524788323609</v>
      </c>
      <c r="O70" s="338"/>
      <c r="P70" s="863">
        <f t="shared" si="37"/>
        <v>6.8410061770486544E-2</v>
      </c>
      <c r="Q70" s="367"/>
      <c r="R70" s="372"/>
    </row>
    <row r="71" spans="1:18" ht="14.1">
      <c r="A71" s="343" t="s">
        <v>72</v>
      </c>
      <c r="B71" s="20">
        <v>555998</v>
      </c>
      <c r="C71" s="20"/>
      <c r="D71" s="20">
        <v>578400</v>
      </c>
      <c r="E71" s="20"/>
      <c r="F71" s="20">
        <v>606994</v>
      </c>
      <c r="G71" s="20"/>
      <c r="H71" s="22"/>
      <c r="I71" s="843">
        <f t="shared" si="32"/>
        <v>-3.8730982019363765E-2</v>
      </c>
      <c r="J71" s="844">
        <f t="shared" si="33"/>
        <v>-4.7107549662764377E-2</v>
      </c>
      <c r="K71" s="74"/>
      <c r="L71" s="285">
        <f>B71/$B$68</f>
        <v>0.27680527724189435</v>
      </c>
      <c r="M71" s="285">
        <f>D71/$D$68</f>
        <v>0.27670219208987656</v>
      </c>
      <c r="N71" s="285">
        <f>F71/$F$68</f>
        <v>0.29499781786936569</v>
      </c>
      <c r="O71" s="337"/>
      <c r="P71" s="864">
        <f t="shared" si="37"/>
        <v>-8.4014010023163332E-2</v>
      </c>
      <c r="Q71" s="368"/>
      <c r="R71" s="371"/>
    </row>
    <row r="72" spans="1:18" ht="22.5" customHeight="1">
      <c r="A72" s="343" t="s">
        <v>73</v>
      </c>
      <c r="B72" s="334">
        <v>5396</v>
      </c>
      <c r="C72" s="334"/>
      <c r="D72" s="334">
        <v>2782</v>
      </c>
      <c r="E72" s="333"/>
      <c r="F72" s="334">
        <v>18499</v>
      </c>
      <c r="G72" s="333"/>
      <c r="H72" s="346"/>
      <c r="I72" s="795">
        <f>(B72-D72)/D72</f>
        <v>0.9396117900790798</v>
      </c>
      <c r="J72" s="853">
        <f t="shared" ref="J72" si="38">(D72-F72)/F72</f>
        <v>-0.84961349262122277</v>
      </c>
      <c r="K72" s="74"/>
      <c r="L72" s="285">
        <f>B72/$B$68</f>
        <v>2.6864148360196652E-3</v>
      </c>
      <c r="M72" s="285">
        <f>D72/$D$68</f>
        <v>1.3308877911376842E-3</v>
      </c>
      <c r="N72" s="285">
        <f>F72/$F$68</f>
        <v>8.9904754128795287E-3</v>
      </c>
      <c r="O72" s="337"/>
      <c r="P72" s="351">
        <f>(B72-$F72)/$F72</f>
        <v>-0.70830855721930919</v>
      </c>
      <c r="Q72" s="369"/>
      <c r="R72" s="371"/>
    </row>
    <row r="73" spans="1:18" ht="24" customHeight="1">
      <c r="A73" s="343" t="s">
        <v>74</v>
      </c>
      <c r="B73" s="334">
        <v>16426</v>
      </c>
      <c r="C73" s="334"/>
      <c r="D73" s="334">
        <v>27100</v>
      </c>
      <c r="E73" s="334"/>
      <c r="F73" s="334">
        <v>0</v>
      </c>
      <c r="G73" s="334"/>
      <c r="H73" s="346"/>
      <c r="I73" s="781">
        <f>IFERROR((B73-D73)/F73,0)</f>
        <v>0</v>
      </c>
      <c r="J73" s="782">
        <f>IFERROR((D73-F73)/F73,0)</f>
        <v>0</v>
      </c>
      <c r="K73" s="783"/>
      <c r="L73" s="784">
        <f>B73/B68</f>
        <v>8.1777335241769861E-3</v>
      </c>
      <c r="M73" s="784">
        <f>D73/D68</f>
        <v>1.2964435348609362E-2</v>
      </c>
      <c r="N73" s="784">
        <f>F73/F68</f>
        <v>0</v>
      </c>
      <c r="O73" s="783"/>
      <c r="P73" s="353">
        <f>IFERROR((B73-F73)/F73,0)</f>
        <v>0</v>
      </c>
      <c r="Q73" s="369"/>
      <c r="R73" s="371"/>
    </row>
    <row r="74" spans="1:18" ht="24" customHeight="1">
      <c r="A74" s="343" t="s">
        <v>75</v>
      </c>
      <c r="B74" s="334"/>
      <c r="C74" s="334"/>
      <c r="D74" s="334">
        <v>5379</v>
      </c>
      <c r="E74" s="334"/>
      <c r="F74" s="334">
        <v>30678</v>
      </c>
      <c r="G74" s="334"/>
      <c r="H74" s="346"/>
      <c r="I74" s="854">
        <f>(B74-D74)/F74</f>
        <v>-0.17533737531781732</v>
      </c>
      <c r="J74" s="855">
        <f>(D74-F74)/F74</f>
        <v>-0.82466262468218265</v>
      </c>
      <c r="K74" s="783"/>
      <c r="L74" s="784">
        <f>B74/B68</f>
        <v>0</v>
      </c>
      <c r="M74" s="784">
        <f>D74/D68</f>
        <v>2.5732729793420572E-3</v>
      </c>
      <c r="N74" s="784">
        <f>F74/F68</f>
        <v>1.4909444008666315E-2</v>
      </c>
      <c r="O74" s="783"/>
      <c r="P74" s="353">
        <f>(B74-F74)/F74</f>
        <v>-1</v>
      </c>
      <c r="Q74" s="369"/>
      <c r="R74" s="371"/>
    </row>
    <row r="75" spans="1:18" ht="14.1">
      <c r="A75" s="343" t="s">
        <v>76</v>
      </c>
      <c r="B75" s="305">
        <v>174548</v>
      </c>
      <c r="C75" s="305"/>
      <c r="D75" s="305">
        <v>157534</v>
      </c>
      <c r="E75" s="305"/>
      <c r="F75" s="305">
        <v>133624</v>
      </c>
      <c r="G75" s="305"/>
      <c r="H75" s="57"/>
      <c r="I75" s="823">
        <f t="shared" si="32"/>
        <v>0.10800208209021545</v>
      </c>
      <c r="J75" s="850">
        <f t="shared" si="33"/>
        <v>0.1789349218703227</v>
      </c>
      <c r="K75" s="120"/>
      <c r="L75" s="811">
        <f t="shared" si="34"/>
        <v>8.6899246997324042E-2</v>
      </c>
      <c r="M75" s="859">
        <f t="shared" si="35"/>
        <v>7.5363075948628303E-2</v>
      </c>
      <c r="N75" s="859">
        <f t="shared" si="36"/>
        <v>6.4940985273291202E-2</v>
      </c>
      <c r="O75" s="336"/>
      <c r="P75" s="862">
        <f t="shared" si="37"/>
        <v>0.30626234808118302</v>
      </c>
      <c r="Q75" s="366"/>
      <c r="R75" s="371"/>
    </row>
    <row r="76" spans="1:18" ht="14.1">
      <c r="A76" s="395" t="s">
        <v>77</v>
      </c>
      <c r="B76" s="371">
        <f>SUM(B71:B75)</f>
        <v>752368</v>
      </c>
      <c r="C76" s="371"/>
      <c r="D76" s="371">
        <f>SUM(D71:D75)</f>
        <v>771195</v>
      </c>
      <c r="E76" s="371"/>
      <c r="F76" s="371">
        <f>SUM(F71:F75)</f>
        <v>789795</v>
      </c>
      <c r="G76" s="371"/>
      <c r="H76" s="396"/>
      <c r="I76" s="851">
        <f t="shared" ref="I76" si="39">(B76-D76)/D76</f>
        <v>-2.4412762012201841E-2</v>
      </c>
      <c r="J76" s="852">
        <f t="shared" ref="J76" si="40">(D76-F76)/F76</f>
        <v>-2.3550414981102691E-2</v>
      </c>
      <c r="K76" s="120"/>
      <c r="L76" s="59">
        <f t="shared" ref="L76" si="41">B76/$B$68</f>
        <v>0.37456867259941501</v>
      </c>
      <c r="M76" s="284">
        <f t="shared" ref="M76" si="42">D76/$D$68</f>
        <v>0.36893386415759394</v>
      </c>
      <c r="N76" s="284">
        <f t="shared" ref="N76" si="43">F76/$F$68</f>
        <v>0.38383872256420276</v>
      </c>
      <c r="O76" s="336"/>
      <c r="P76" s="865">
        <f t="shared" ref="P76" si="44">(B76-$F76)/$F76</f>
        <v>-4.7388246317082279E-2</v>
      </c>
      <c r="Q76" s="369"/>
      <c r="R76" s="371"/>
    </row>
    <row r="77" spans="1:18" s="428" customFormat="1" ht="27.95">
      <c r="A77" s="429" t="s">
        <v>78</v>
      </c>
      <c r="B77" s="430">
        <f>B70-B76</f>
        <v>100001</v>
      </c>
      <c r="C77" s="431"/>
      <c r="D77" s="430">
        <f>D70-D76</f>
        <v>90791</v>
      </c>
      <c r="E77" s="432"/>
      <c r="F77" s="430">
        <f>F70-F76</f>
        <v>7997</v>
      </c>
      <c r="G77" s="432"/>
      <c r="H77" s="433"/>
      <c r="I77" s="845">
        <f t="shared" si="32"/>
        <v>0.10144177286294898</v>
      </c>
      <c r="J77" s="846">
        <f t="shared" si="33"/>
        <v>10.353132424659247</v>
      </c>
      <c r="K77" s="434"/>
      <c r="L77" s="435">
        <f t="shared" si="34"/>
        <v>4.9785798742921154E-2</v>
      </c>
      <c r="M77" s="436">
        <f t="shared" si="35"/>
        <v>4.3433728772531086E-2</v>
      </c>
      <c r="N77" s="436">
        <f t="shared" si="36"/>
        <v>3.8865253190333306E-3</v>
      </c>
      <c r="O77" s="437"/>
      <c r="P77" s="863">
        <f t="shared" si="37"/>
        <v>11.504814305364512</v>
      </c>
      <c r="Q77" s="438"/>
      <c r="R77" s="439"/>
    </row>
    <row r="78" spans="1:18" ht="14.1">
      <c r="A78" s="125" t="s">
        <v>79</v>
      </c>
      <c r="B78" s="126"/>
      <c r="C78" s="21"/>
      <c r="D78" s="20"/>
      <c r="E78" s="21"/>
      <c r="F78" s="20"/>
      <c r="G78" s="21"/>
      <c r="H78" s="28"/>
      <c r="I78" s="118"/>
      <c r="J78" s="25"/>
      <c r="K78" s="31"/>
      <c r="L78" s="30"/>
      <c r="M78" s="285"/>
      <c r="N78" s="285"/>
      <c r="O78" s="337"/>
      <c r="P78" s="351"/>
      <c r="Q78" s="368"/>
      <c r="R78" s="371"/>
    </row>
    <row r="79" spans="1:18" ht="27.95">
      <c r="A79" s="27" t="s">
        <v>80</v>
      </c>
      <c r="B79" s="21">
        <v>10995</v>
      </c>
      <c r="C79" s="21"/>
      <c r="D79" s="21">
        <v>2561</v>
      </c>
      <c r="E79" s="21"/>
      <c r="F79" s="21">
        <v>-110</v>
      </c>
      <c r="G79" s="21"/>
      <c r="H79" s="28"/>
      <c r="I79" s="34">
        <f t="shared" ref="I79:I85" si="45">(B79-D79)/D79</f>
        <v>3.29324482623975</v>
      </c>
      <c r="J79" s="30">
        <f t="shared" ref="J79:J85" si="46">(D79-F79)/F79</f>
        <v>-24.281818181818181</v>
      </c>
      <c r="K79" s="31"/>
      <c r="L79" s="30">
        <f t="shared" ref="L79:L85" si="47">B79/$B$68</f>
        <v>5.4738938328458527E-3</v>
      </c>
      <c r="M79" s="30">
        <f t="shared" ref="M79:M85" si="48">D79/$D$68</f>
        <v>1.2251630600659991E-3</v>
      </c>
      <c r="N79" s="30">
        <f t="shared" ref="N79:N85" si="49">F79/$F$68</f>
        <v>-5.3459770550664797E-5</v>
      </c>
      <c r="O79" s="31"/>
      <c r="P79" s="348">
        <f t="shared" si="37"/>
        <v>-100.95454545454545</v>
      </c>
      <c r="Q79" s="365"/>
      <c r="R79" s="371"/>
    </row>
    <row r="80" spans="1:18" ht="25.5" customHeight="1">
      <c r="A80" s="343" t="s">
        <v>81</v>
      </c>
      <c r="B80" s="21">
        <v>-1408</v>
      </c>
      <c r="C80" s="56"/>
      <c r="D80" s="21">
        <v>-1916</v>
      </c>
      <c r="E80" s="21"/>
      <c r="F80" s="21">
        <v>-978</v>
      </c>
      <c r="G80" s="21"/>
      <c r="H80" s="28"/>
      <c r="I80" s="803">
        <f t="shared" si="45"/>
        <v>-0.26513569937369519</v>
      </c>
      <c r="J80" s="804">
        <f t="shared" si="46"/>
        <v>0.95910020449897748</v>
      </c>
      <c r="K80" s="31"/>
      <c r="L80" s="30">
        <f t="shared" si="47"/>
        <v>-7.0097703652996458E-4</v>
      </c>
      <c r="M80" s="30">
        <f t="shared" si="48"/>
        <v>-9.1659993092013052E-4</v>
      </c>
      <c r="N80" s="30">
        <f t="shared" si="49"/>
        <v>-4.7530595998681972E-4</v>
      </c>
      <c r="O80" s="31"/>
      <c r="P80" s="348">
        <f t="shared" si="37"/>
        <v>0.43967280163599182</v>
      </c>
      <c r="Q80" s="365"/>
      <c r="R80" s="371"/>
    </row>
    <row r="81" spans="1:18" ht="35.25">
      <c r="A81" s="27" t="s">
        <v>82</v>
      </c>
      <c r="B81" s="56"/>
      <c r="C81" s="85"/>
      <c r="D81" s="56"/>
      <c r="E81" s="21"/>
      <c r="F81" s="56"/>
      <c r="G81" s="21"/>
      <c r="H81" s="127"/>
      <c r="I81" s="805">
        <f>IFERROR((B81-D81)/D81,0)</f>
        <v>0</v>
      </c>
      <c r="J81" s="128">
        <f>IFERROR((D81-F81)/F81,0)</f>
        <v>0</v>
      </c>
      <c r="K81" s="120"/>
      <c r="L81" s="59">
        <f t="shared" si="47"/>
        <v>0</v>
      </c>
      <c r="M81" s="59">
        <f t="shared" si="48"/>
        <v>0</v>
      </c>
      <c r="N81" s="59">
        <f t="shared" si="49"/>
        <v>0</v>
      </c>
      <c r="O81" s="120"/>
      <c r="P81" s="348">
        <f>IFERROR((B81-$F81)/$F81,0)</f>
        <v>0</v>
      </c>
      <c r="Q81" s="365"/>
      <c r="R81" s="371"/>
    </row>
    <row r="82" spans="1:18" ht="14.1">
      <c r="A82" s="27" t="s">
        <v>83</v>
      </c>
      <c r="B82" s="85">
        <f>SUM(B79:B81)</f>
        <v>9587</v>
      </c>
      <c r="C82" s="85"/>
      <c r="D82" s="85">
        <f>SUM(D79:D81)</f>
        <v>645</v>
      </c>
      <c r="E82" s="21"/>
      <c r="F82" s="85">
        <f>SUM(F79:F81)</f>
        <v>-1088</v>
      </c>
      <c r="G82" s="21"/>
      <c r="H82" s="129"/>
      <c r="I82" s="130">
        <f t="shared" si="45"/>
        <v>13.863565891472868</v>
      </c>
      <c r="J82" s="131">
        <f t="shared" si="46"/>
        <v>-1.5928308823529411</v>
      </c>
      <c r="K82" s="132"/>
      <c r="L82" s="133">
        <f t="shared" si="47"/>
        <v>4.7729167963158877E-3</v>
      </c>
      <c r="M82" s="134">
        <f t="shared" si="48"/>
        <v>3.0856312914586857E-4</v>
      </c>
      <c r="N82" s="88">
        <f t="shared" si="49"/>
        <v>-5.2876573053748451E-4</v>
      </c>
      <c r="O82" s="135"/>
      <c r="P82" s="861">
        <f t="shared" si="37"/>
        <v>-9.811580882352942</v>
      </c>
      <c r="Q82" s="365"/>
      <c r="R82" s="371"/>
    </row>
    <row r="83" spans="1:18" ht="14.1">
      <c r="A83" s="84" t="s">
        <v>84</v>
      </c>
      <c r="B83" s="136">
        <f>B77+B82</f>
        <v>109588</v>
      </c>
      <c r="C83" s="136"/>
      <c r="D83" s="136">
        <f>D77+D82</f>
        <v>91436</v>
      </c>
      <c r="E83" s="137"/>
      <c r="F83" s="136">
        <f>F77+F82</f>
        <v>6909</v>
      </c>
      <c r="G83" s="137"/>
      <c r="H83" s="138"/>
      <c r="I83" s="847">
        <f t="shared" si="45"/>
        <v>0.19852137013867624</v>
      </c>
      <c r="J83" s="848">
        <f t="shared" si="46"/>
        <v>12.234332030684614</v>
      </c>
      <c r="K83" s="139"/>
      <c r="L83" s="801">
        <f t="shared" si="47"/>
        <v>5.4558715539237038E-2</v>
      </c>
      <c r="M83" s="801">
        <f t="shared" si="48"/>
        <v>4.3742291901676958E-2</v>
      </c>
      <c r="N83" s="801">
        <f t="shared" si="49"/>
        <v>3.3577595884958463E-3</v>
      </c>
      <c r="O83" s="139"/>
      <c r="P83" s="866">
        <f t="shared" si="37"/>
        <v>14.861629758286293</v>
      </c>
      <c r="Q83" s="365"/>
      <c r="R83" s="371"/>
    </row>
    <row r="84" spans="1:18" ht="16.5" customHeight="1" thickBot="1">
      <c r="A84" s="347" t="s">
        <v>85</v>
      </c>
      <c r="B84" s="140">
        <v>33338</v>
      </c>
      <c r="C84" s="140"/>
      <c r="D84" s="140">
        <v>24173</v>
      </c>
      <c r="E84" s="140"/>
      <c r="F84" s="140">
        <v>-7644</v>
      </c>
      <c r="G84" s="140"/>
      <c r="H84" s="57"/>
      <c r="I84" s="856">
        <f t="shared" si="45"/>
        <v>0.3791420179539155</v>
      </c>
      <c r="J84" s="857">
        <f t="shared" si="46"/>
        <v>-4.1623495552066982</v>
      </c>
      <c r="K84" s="96"/>
      <c r="L84" s="141">
        <f t="shared" si="47"/>
        <v>1.6597423610678948E-2</v>
      </c>
      <c r="M84" s="141">
        <f t="shared" si="48"/>
        <v>1.1564180652469893E-2</v>
      </c>
      <c r="N84" s="141">
        <f t="shared" si="49"/>
        <v>-3.7149680553571064E-3</v>
      </c>
      <c r="O84" s="96"/>
      <c r="P84" s="348">
        <f t="shared" si="37"/>
        <v>-5.361329147043433</v>
      </c>
      <c r="Q84" s="365"/>
      <c r="R84" s="371"/>
    </row>
    <row r="85" spans="1:18" s="428" customFormat="1" ht="27.75" customHeight="1" thickTop="1" thickBot="1">
      <c r="A85" s="422" t="s">
        <v>86</v>
      </c>
      <c r="B85" s="423">
        <f>B83-B84</f>
        <v>76250</v>
      </c>
      <c r="C85" s="423"/>
      <c r="D85" s="423">
        <f>D83-D84</f>
        <v>67263</v>
      </c>
      <c r="E85" s="423"/>
      <c r="F85" s="423">
        <f>F83-F84</f>
        <v>14553</v>
      </c>
      <c r="G85" s="423"/>
      <c r="H85" s="424"/>
      <c r="I85" s="849">
        <f t="shared" si="45"/>
        <v>0.13360985980405274</v>
      </c>
      <c r="J85" s="849">
        <f t="shared" si="46"/>
        <v>3.6219336219336218</v>
      </c>
      <c r="K85" s="425"/>
      <c r="L85" s="858">
        <f t="shared" si="47"/>
        <v>3.7961291928558093E-2</v>
      </c>
      <c r="M85" s="858">
        <f t="shared" si="48"/>
        <v>3.2178111249207067E-2</v>
      </c>
      <c r="N85" s="858">
        <f t="shared" si="49"/>
        <v>7.0727276438529527E-3</v>
      </c>
      <c r="O85" s="425"/>
      <c r="P85" s="867">
        <f t="shared" si="37"/>
        <v>4.2394695251838108</v>
      </c>
      <c r="Q85" s="426"/>
      <c r="R85" s="427"/>
    </row>
    <row r="86" spans="1:18" ht="12.75">
      <c r="A86" s="142" t="s">
        <v>87</v>
      </c>
      <c r="B86" s="143"/>
      <c r="C86" s="143"/>
      <c r="D86" s="143"/>
      <c r="E86" s="143"/>
      <c r="F86" s="143"/>
      <c r="G86" s="2"/>
      <c r="H86" s="6"/>
      <c r="I86" s="144"/>
      <c r="J86" s="144"/>
      <c r="K86" s="696"/>
      <c r="L86" s="887" t="s">
        <v>88</v>
      </c>
      <c r="M86" s="893"/>
      <c r="N86" s="894"/>
      <c r="O86" s="699"/>
      <c r="P86" s="887" t="s">
        <v>89</v>
      </c>
      <c r="Q86" s="893"/>
      <c r="R86" s="894"/>
    </row>
    <row r="87" spans="1:18" ht="12.75">
      <c r="A87" s="95"/>
      <c r="B87" s="96"/>
      <c r="C87" s="96"/>
      <c r="D87" s="96"/>
      <c r="E87" s="96"/>
      <c r="F87" s="96"/>
      <c r="G87" s="9"/>
      <c r="H87" s="146"/>
      <c r="I87" s="885" t="s">
        <v>90</v>
      </c>
      <c r="J87" s="1269"/>
      <c r="K87" s="1270"/>
      <c r="L87" s="895"/>
      <c r="M87" s="896"/>
      <c r="N87" s="897"/>
      <c r="O87" s="295"/>
      <c r="P87" s="895"/>
      <c r="Q87" s="896"/>
      <c r="R87" s="897"/>
    </row>
    <row r="88" spans="1:18" ht="12.75">
      <c r="A88" s="923" t="s">
        <v>91</v>
      </c>
      <c r="B88" s="1271"/>
      <c r="C88" s="1271"/>
      <c r="D88" s="1271"/>
      <c r="E88" s="1271"/>
      <c r="F88" s="1272"/>
      <c r="G88" s="1265"/>
      <c r="H88" s="148"/>
      <c r="I88" s="1273"/>
      <c r="J88" s="1252"/>
      <c r="K88" s="1274"/>
      <c r="L88" s="895"/>
      <c r="M88" s="896"/>
      <c r="N88" s="897"/>
      <c r="O88" s="295"/>
      <c r="P88" s="895"/>
      <c r="Q88" s="896"/>
      <c r="R88" s="897"/>
    </row>
    <row r="89" spans="1:18">
      <c r="A89" s="1275"/>
      <c r="B89" s="1262"/>
      <c r="C89" s="1262"/>
      <c r="D89" s="1262"/>
      <c r="E89" s="1262"/>
      <c r="F89" s="1276"/>
      <c r="G89" s="1251"/>
      <c r="H89" s="148"/>
      <c r="I89" s="1273"/>
      <c r="J89" s="1252"/>
      <c r="K89" s="1274"/>
      <c r="L89" s="895"/>
      <c r="M89" s="896"/>
      <c r="N89" s="897"/>
      <c r="O89" s="295"/>
      <c r="P89" s="895"/>
      <c r="Q89" s="896"/>
      <c r="R89" s="897"/>
    </row>
    <row r="90" spans="1:18" ht="14.1" thickBot="1">
      <c r="A90" s="1277"/>
      <c r="B90" s="1262"/>
      <c r="C90" s="1262"/>
      <c r="D90" s="1262"/>
      <c r="E90" s="1262"/>
      <c r="F90" s="1276"/>
      <c r="G90" s="1256"/>
      <c r="H90" s="148"/>
      <c r="I90" s="1278"/>
      <c r="J90" s="1279"/>
      <c r="K90" s="1280"/>
      <c r="L90" s="895"/>
      <c r="M90" s="896"/>
      <c r="N90" s="897"/>
      <c r="O90" s="295"/>
      <c r="P90" s="895"/>
      <c r="Q90" s="896"/>
      <c r="R90" s="897"/>
    </row>
    <row r="91" spans="1:18" ht="15.95" thickTop="1" thickBot="1">
      <c r="A91" s="768" t="s">
        <v>68</v>
      </c>
      <c r="B91" s="771">
        <f>B67</f>
        <v>2023</v>
      </c>
      <c r="C91" s="772"/>
      <c r="D91" s="773">
        <f>D67</f>
        <v>2022</v>
      </c>
      <c r="E91" s="774"/>
      <c r="F91" s="775">
        <f>F67</f>
        <v>2021</v>
      </c>
      <c r="G91" s="751"/>
      <c r="H91" s="117"/>
      <c r="I91" s="924" t="s">
        <v>92</v>
      </c>
      <c r="J91" s="1281"/>
      <c r="K91" s="1282"/>
      <c r="L91" s="895"/>
      <c r="M91" s="896"/>
      <c r="N91" s="897"/>
      <c r="O91" s="409"/>
      <c r="P91" s="895"/>
      <c r="Q91" s="896"/>
      <c r="R91" s="897"/>
    </row>
    <row r="92" spans="1:18" ht="15" thickBot="1">
      <c r="A92" s="421" t="s">
        <v>93</v>
      </c>
      <c r="B92" s="337"/>
      <c r="C92" s="344"/>
      <c r="D92" s="769"/>
      <c r="E92" s="770"/>
      <c r="F92" s="337"/>
      <c r="G92" s="6"/>
      <c r="H92" s="149"/>
      <c r="I92" s="1283" t="s">
        <v>94</v>
      </c>
      <c r="J92" s="1284"/>
      <c r="K92" s="698"/>
      <c r="L92" s="895"/>
      <c r="M92" s="896"/>
      <c r="N92" s="897"/>
      <c r="O92" s="700"/>
      <c r="P92" s="895"/>
      <c r="Q92" s="896"/>
      <c r="R92" s="897"/>
    </row>
    <row r="93" spans="1:18" ht="14.1" customHeight="1">
      <c r="A93" s="150" t="s">
        <v>95</v>
      </c>
      <c r="B93" s="21">
        <f>B85</f>
        <v>76250</v>
      </c>
      <c r="C93" s="743"/>
      <c r="D93" s="757">
        <f>D85</f>
        <v>67263</v>
      </c>
      <c r="E93" s="361"/>
      <c r="F93" s="21">
        <f>F85</f>
        <v>14553</v>
      </c>
      <c r="G93" s="21"/>
      <c r="H93" s="360"/>
      <c r="I93" s="938" t="s">
        <v>96</v>
      </c>
      <c r="J93" s="939"/>
      <c r="K93" s="939"/>
      <c r="L93" s="895"/>
      <c r="M93" s="896"/>
      <c r="N93" s="897"/>
      <c r="O93" s="295"/>
      <c r="P93" s="895"/>
      <c r="Q93" s="896"/>
      <c r="R93" s="897"/>
    </row>
    <row r="94" spans="1:18" ht="27.95" hidden="1">
      <c r="A94" s="322" t="s">
        <v>97</v>
      </c>
      <c r="B94" s="21"/>
      <c r="C94" s="743"/>
      <c r="D94" s="758"/>
      <c r="E94" s="361"/>
      <c r="F94" s="21"/>
      <c r="G94" s="21"/>
      <c r="H94" s="360"/>
      <c r="I94" s="940"/>
      <c r="J94" s="941"/>
      <c r="K94" s="941"/>
      <c r="L94" s="895"/>
      <c r="M94" s="896"/>
      <c r="N94" s="897"/>
      <c r="O94" s="295"/>
      <c r="P94" s="895"/>
      <c r="Q94" s="896"/>
      <c r="R94" s="897"/>
    </row>
    <row r="95" spans="1:18">
      <c r="A95" s="150" t="s">
        <v>98</v>
      </c>
      <c r="B95" s="21">
        <v>88141</v>
      </c>
      <c r="C95" s="743"/>
      <c r="D95" s="758">
        <v>81356</v>
      </c>
      <c r="E95" s="361"/>
      <c r="F95" s="21">
        <v>72096</v>
      </c>
      <c r="G95" s="21"/>
      <c r="H95" s="360"/>
      <c r="I95" s="940"/>
      <c r="J95" s="941"/>
      <c r="K95" s="941"/>
      <c r="L95" s="895"/>
      <c r="M95" s="896"/>
      <c r="N95" s="897"/>
      <c r="O95" s="295"/>
      <c r="P95" s="895"/>
      <c r="Q95" s="896"/>
      <c r="R95" s="897"/>
    </row>
    <row r="96" spans="1:18" ht="12.75">
      <c r="A96" s="150" t="s">
        <v>99</v>
      </c>
      <c r="B96" s="21">
        <f>16426</f>
        <v>16426</v>
      </c>
      <c r="C96" s="743"/>
      <c r="D96" s="758">
        <v>27100</v>
      </c>
      <c r="E96" s="361"/>
      <c r="F96" s="21">
        <v>0</v>
      </c>
      <c r="G96" s="21"/>
      <c r="H96" s="360"/>
      <c r="I96" s="940"/>
      <c r="J96" s="941"/>
      <c r="K96" s="941"/>
      <c r="L96" s="895"/>
      <c r="M96" s="896"/>
      <c r="N96" s="897"/>
      <c r="O96" s="295"/>
      <c r="P96" s="895"/>
      <c r="Q96" s="896"/>
      <c r="R96" s="897"/>
    </row>
    <row r="97" spans="1:18" ht="12.75">
      <c r="A97" s="150" t="s">
        <v>100</v>
      </c>
      <c r="B97" s="21">
        <f>5396</f>
        <v>5396</v>
      </c>
      <c r="C97" s="743"/>
      <c r="D97" s="758">
        <v>2782</v>
      </c>
      <c r="E97" s="361"/>
      <c r="F97" s="21">
        <v>18499</v>
      </c>
      <c r="G97" s="21"/>
      <c r="H97" s="360"/>
      <c r="I97" s="940"/>
      <c r="J97" s="941"/>
      <c r="K97" s="941"/>
      <c r="L97" s="895"/>
      <c r="M97" s="896"/>
      <c r="N97" s="897"/>
      <c r="O97" s="295"/>
      <c r="P97" s="895"/>
      <c r="Q97" s="896"/>
      <c r="R97" s="897"/>
    </row>
    <row r="98" spans="1:18" ht="12.75">
      <c r="A98" s="150" t="s">
        <v>101</v>
      </c>
      <c r="B98" s="21">
        <f>7678</f>
        <v>7678</v>
      </c>
      <c r="C98" s="743"/>
      <c r="D98" s="758">
        <v>7972</v>
      </c>
      <c r="E98" s="361"/>
      <c r="F98" s="21">
        <v>8018</v>
      </c>
      <c r="G98" s="21"/>
      <c r="H98" s="360"/>
      <c r="I98" s="940"/>
      <c r="J98" s="941"/>
      <c r="K98" s="941"/>
      <c r="L98" s="895"/>
      <c r="M98" s="896"/>
      <c r="N98" s="897"/>
      <c r="O98" s="295"/>
      <c r="P98" s="895"/>
      <c r="Q98" s="896"/>
      <c r="R98" s="897"/>
    </row>
    <row r="99" spans="1:18" ht="12.75">
      <c r="A99" s="150" t="s">
        <v>102</v>
      </c>
      <c r="B99" s="21">
        <f>16971</f>
        <v>16971</v>
      </c>
      <c r="C99" s="743"/>
      <c r="D99" s="758">
        <v>13988</v>
      </c>
      <c r="E99" s="361"/>
      <c r="F99" s="21">
        <v>18615</v>
      </c>
      <c r="G99" s="21"/>
      <c r="H99" s="360"/>
      <c r="I99" s="940"/>
      <c r="J99" s="941"/>
      <c r="K99" s="941"/>
      <c r="L99" s="895"/>
      <c r="M99" s="896"/>
      <c r="N99" s="897"/>
      <c r="O99" s="295"/>
      <c r="P99" s="895"/>
      <c r="Q99" s="896"/>
      <c r="R99" s="897"/>
    </row>
    <row r="100" spans="1:18" ht="12.75">
      <c r="A100" s="150" t="s">
        <v>103</v>
      </c>
      <c r="B100" s="21">
        <v>-10871</v>
      </c>
      <c r="C100" s="743"/>
      <c r="D100" s="758">
        <v>9097</v>
      </c>
      <c r="E100" s="361"/>
      <c r="F100" s="21">
        <v>-5225</v>
      </c>
      <c r="G100" s="21"/>
      <c r="H100" s="360"/>
      <c r="I100" s="940"/>
      <c r="J100" s="941"/>
      <c r="K100" s="941"/>
      <c r="L100" s="895"/>
      <c r="M100" s="896"/>
      <c r="N100" s="897"/>
      <c r="O100" s="295"/>
      <c r="P100" s="895"/>
      <c r="Q100" s="896"/>
      <c r="R100" s="897"/>
    </row>
    <row r="101" spans="1:18" hidden="1">
      <c r="A101" s="150" t="s">
        <v>104</v>
      </c>
      <c r="B101" s="21"/>
      <c r="C101" s="743"/>
      <c r="D101" s="758"/>
      <c r="E101" s="361"/>
      <c r="F101" s="21"/>
      <c r="G101" s="21"/>
      <c r="H101" s="360"/>
      <c r="I101" s="940"/>
      <c r="J101" s="941"/>
      <c r="K101" s="941"/>
      <c r="L101" s="895"/>
      <c r="M101" s="896"/>
      <c r="N101" s="897"/>
      <c r="O101" s="295"/>
      <c r="P101" s="895"/>
      <c r="Q101" s="896"/>
      <c r="R101" s="897"/>
    </row>
    <row r="102" spans="1:18" ht="12.75">
      <c r="A102" s="150" t="s">
        <v>105</v>
      </c>
      <c r="B102" s="21">
        <v>224</v>
      </c>
      <c r="C102" s="743"/>
      <c r="D102" s="758">
        <v>89</v>
      </c>
      <c r="E102" s="361"/>
      <c r="F102" s="21">
        <v>-399</v>
      </c>
      <c r="G102" s="21"/>
      <c r="H102" s="360"/>
      <c r="I102" s="940"/>
      <c r="J102" s="941"/>
      <c r="K102" s="941"/>
      <c r="L102" s="895"/>
      <c r="M102" s="896"/>
      <c r="N102" s="897"/>
      <c r="O102" s="295"/>
      <c r="P102" s="895"/>
      <c r="Q102" s="896"/>
      <c r="R102" s="897"/>
    </row>
    <row r="103" spans="1:18" hidden="1">
      <c r="A103" s="286" t="s">
        <v>106</v>
      </c>
      <c r="B103" s="21"/>
      <c r="C103" s="743"/>
      <c r="D103" s="758"/>
      <c r="E103" s="361"/>
      <c r="F103" s="21"/>
      <c r="G103" s="21"/>
      <c r="H103" s="360"/>
      <c r="I103" s="940"/>
      <c r="J103" s="941"/>
      <c r="K103" s="941"/>
      <c r="L103" s="895"/>
      <c r="M103" s="896"/>
      <c r="N103" s="897"/>
      <c r="O103" s="295"/>
      <c r="P103" s="895"/>
      <c r="Q103" s="896"/>
      <c r="R103" s="897"/>
    </row>
    <row r="104" spans="1:18">
      <c r="A104" s="154" t="s">
        <v>107</v>
      </c>
      <c r="B104" s="21"/>
      <c r="C104" s="743"/>
      <c r="D104" s="758"/>
      <c r="E104" s="361"/>
      <c r="F104" s="21"/>
      <c r="G104" s="21"/>
      <c r="H104" s="360"/>
      <c r="I104" s="940"/>
      <c r="J104" s="941"/>
      <c r="K104" s="941"/>
      <c r="L104" s="895"/>
      <c r="M104" s="896"/>
      <c r="N104" s="897"/>
      <c r="O104" s="295"/>
      <c r="P104" s="895"/>
      <c r="Q104" s="896"/>
      <c r="R104" s="897"/>
    </row>
    <row r="105" spans="1:18">
      <c r="A105" s="150" t="s">
        <v>108</v>
      </c>
      <c r="B105" s="21">
        <v>-10340</v>
      </c>
      <c r="C105" s="743"/>
      <c r="D105" s="758">
        <v>-2042</v>
      </c>
      <c r="E105" s="361"/>
      <c r="F105" s="21">
        <v>23071</v>
      </c>
      <c r="G105" s="21"/>
      <c r="H105" s="360"/>
      <c r="I105" s="940"/>
      <c r="J105" s="941"/>
      <c r="K105" s="941"/>
      <c r="L105" s="895"/>
      <c r="M105" s="896"/>
      <c r="N105" s="897"/>
      <c r="O105" s="295"/>
      <c r="P105" s="895"/>
      <c r="Q105" s="896"/>
      <c r="R105" s="897"/>
    </row>
    <row r="106" spans="1:18">
      <c r="A106" s="150" t="s">
        <v>109</v>
      </c>
      <c r="B106" s="21">
        <v>31500</v>
      </c>
      <c r="C106" s="743"/>
      <c r="D106" s="758">
        <v>131</v>
      </c>
      <c r="E106" s="361"/>
      <c r="F106" s="21">
        <v>-21224</v>
      </c>
      <c r="G106" s="21"/>
      <c r="H106" s="360"/>
      <c r="I106" s="940"/>
      <c r="J106" s="941"/>
      <c r="K106" s="941"/>
      <c r="L106" s="895"/>
      <c r="M106" s="896"/>
      <c r="N106" s="897"/>
      <c r="O106" s="295"/>
      <c r="P106" s="895"/>
      <c r="Q106" s="896"/>
      <c r="R106" s="897"/>
    </row>
    <row r="107" spans="1:18">
      <c r="A107" s="152" t="s">
        <v>110</v>
      </c>
      <c r="B107" s="21">
        <v>13979</v>
      </c>
      <c r="C107" s="743"/>
      <c r="D107" s="759">
        <v>38652</v>
      </c>
      <c r="E107" s="361"/>
      <c r="F107" s="21">
        <v>-49073</v>
      </c>
      <c r="G107" s="21"/>
      <c r="H107" s="360"/>
      <c r="I107" s="940"/>
      <c r="J107" s="941"/>
      <c r="K107" s="941"/>
      <c r="L107" s="895"/>
      <c r="M107" s="896"/>
      <c r="N107" s="897"/>
      <c r="O107" s="295"/>
      <c r="P107" s="895"/>
      <c r="Q107" s="896"/>
      <c r="R107" s="897"/>
    </row>
    <row r="108" spans="1:18" ht="12.75">
      <c r="A108" s="152" t="s">
        <v>111</v>
      </c>
      <c r="B108" s="21">
        <v>27758</v>
      </c>
      <c r="C108" s="743"/>
      <c r="D108" s="759">
        <v>26955</v>
      </c>
      <c r="E108" s="361"/>
      <c r="F108" s="21">
        <v>-16635</v>
      </c>
      <c r="G108" s="21"/>
      <c r="H108" s="360"/>
      <c r="I108" s="940"/>
      <c r="J108" s="941"/>
      <c r="K108" s="941"/>
      <c r="L108" s="895"/>
      <c r="M108" s="896"/>
      <c r="N108" s="897"/>
      <c r="O108" s="295"/>
      <c r="P108" s="895"/>
      <c r="Q108" s="896"/>
      <c r="R108" s="897"/>
    </row>
    <row r="109" spans="1:18" ht="12.75">
      <c r="A109" s="152" t="s">
        <v>112</v>
      </c>
      <c r="B109" s="21">
        <v>-5849</v>
      </c>
      <c r="C109" s="743"/>
      <c r="D109" s="759">
        <v>-14031</v>
      </c>
      <c r="E109" s="361"/>
      <c r="F109" s="21">
        <v>-5699</v>
      </c>
      <c r="G109" s="21"/>
      <c r="H109" s="360"/>
      <c r="I109" s="940"/>
      <c r="J109" s="941"/>
      <c r="K109" s="941"/>
      <c r="L109" s="895"/>
      <c r="M109" s="896"/>
      <c r="N109" s="897"/>
      <c r="O109" s="295"/>
      <c r="P109" s="895"/>
      <c r="Q109" s="896"/>
      <c r="R109" s="897"/>
    </row>
    <row r="110" spans="1:18">
      <c r="A110" s="150" t="s">
        <v>113</v>
      </c>
      <c r="B110" s="21">
        <v>2763</v>
      </c>
      <c r="C110" s="743"/>
      <c r="D110" s="758">
        <v>-2219</v>
      </c>
      <c r="E110" s="361"/>
      <c r="F110" s="21">
        <v>-27361</v>
      </c>
      <c r="G110" s="21"/>
      <c r="H110" s="360"/>
      <c r="I110" s="940"/>
      <c r="J110" s="941"/>
      <c r="K110" s="941"/>
      <c r="L110" s="895"/>
      <c r="M110" s="896"/>
      <c r="N110" s="897"/>
      <c r="O110" s="295"/>
      <c r="P110" s="895"/>
      <c r="Q110" s="896"/>
      <c r="R110" s="897"/>
    </row>
    <row r="111" spans="1:18" ht="23.25">
      <c r="A111" s="441" t="s">
        <v>114</v>
      </c>
      <c r="B111" s="305">
        <v>13884</v>
      </c>
      <c r="C111" s="747"/>
      <c r="D111" s="760">
        <v>-50632</v>
      </c>
      <c r="E111" s="752"/>
      <c r="F111" s="305">
        <v>35290</v>
      </c>
      <c r="G111" s="21"/>
      <c r="H111" s="360"/>
      <c r="I111" s="940"/>
      <c r="J111" s="941"/>
      <c r="K111" s="941"/>
      <c r="L111" s="895"/>
      <c r="M111" s="896"/>
      <c r="N111" s="897"/>
      <c r="O111" s="295"/>
      <c r="P111" s="895"/>
      <c r="Q111" s="896"/>
      <c r="R111" s="897"/>
    </row>
    <row r="112" spans="1:18" ht="12.75">
      <c r="A112" s="441" t="s">
        <v>115</v>
      </c>
      <c r="B112" s="305">
        <v>-8759</v>
      </c>
      <c r="C112" s="747"/>
      <c r="D112" s="760">
        <v>-6516</v>
      </c>
      <c r="E112" s="752"/>
      <c r="F112" s="305">
        <v>-8229</v>
      </c>
      <c r="G112" s="21"/>
      <c r="H112" s="360"/>
      <c r="I112" s="940"/>
      <c r="J112" s="941"/>
      <c r="K112" s="941"/>
      <c r="L112" s="895"/>
      <c r="M112" s="896"/>
      <c r="N112" s="897"/>
      <c r="O112" s="295"/>
      <c r="P112" s="895"/>
      <c r="Q112" s="896"/>
      <c r="R112" s="897"/>
    </row>
    <row r="113" spans="1:18" ht="15" hidden="1" thickBot="1">
      <c r="A113" s="441" t="s">
        <v>116</v>
      </c>
      <c r="B113" s="442"/>
      <c r="C113" s="744"/>
      <c r="D113" s="760"/>
      <c r="E113" s="752"/>
      <c r="F113" s="305"/>
      <c r="G113" s="21"/>
      <c r="H113" s="360"/>
      <c r="I113" s="940"/>
      <c r="J113" s="941"/>
      <c r="K113" s="941"/>
      <c r="L113" s="898"/>
      <c r="M113" s="899"/>
      <c r="N113" s="900"/>
      <c r="O113" s="295"/>
      <c r="P113" s="898"/>
      <c r="Q113" s="899"/>
      <c r="R113" s="900"/>
    </row>
    <row r="114" spans="1:18" ht="14.1" thickBot="1">
      <c r="A114" s="584" t="s">
        <v>117</v>
      </c>
      <c r="B114" s="585">
        <f>SUM(B93:B113)</f>
        <v>265151</v>
      </c>
      <c r="C114" s="745"/>
      <c r="D114" s="761">
        <f>SUM(D93:D113)</f>
        <v>199945</v>
      </c>
      <c r="E114" s="753"/>
      <c r="F114" s="585">
        <f>SUM(F93:F113)</f>
        <v>56297</v>
      </c>
      <c r="G114" s="137"/>
      <c r="H114" s="358"/>
      <c r="I114" s="942"/>
      <c r="J114" s="943"/>
      <c r="K114" s="944"/>
      <c r="L114" s="701"/>
      <c r="M114" s="418"/>
      <c r="N114" s="418"/>
      <c r="O114" s="153"/>
      <c r="P114" s="417"/>
      <c r="Q114" s="418"/>
      <c r="R114" s="419"/>
    </row>
    <row r="115" spans="1:18" ht="14.1" thickBot="1">
      <c r="A115" s="443"/>
      <c r="B115" s="333"/>
      <c r="C115" s="746"/>
      <c r="D115" s="762"/>
      <c r="E115" s="650"/>
      <c r="F115" s="333"/>
      <c r="G115" s="21"/>
      <c r="H115" s="6"/>
      <c r="I115" s="303"/>
      <c r="J115" s="303"/>
      <c r="K115" s="303"/>
      <c r="L115" s="292"/>
      <c r="M115" s="292"/>
      <c r="N115" s="292"/>
      <c r="O115" s="292"/>
      <c r="P115" s="350"/>
      <c r="Q115" s="6"/>
      <c r="R115" s="151"/>
    </row>
    <row r="116" spans="1:18" ht="14.1" thickBot="1">
      <c r="A116" s="420" t="s">
        <v>118</v>
      </c>
      <c r="B116" s="21"/>
      <c r="C116" s="743"/>
      <c r="D116" s="758"/>
      <c r="E116" s="361"/>
      <c r="F116" s="21"/>
      <c r="G116" s="21"/>
      <c r="H116" s="6"/>
      <c r="I116" s="1285" t="s">
        <v>119</v>
      </c>
      <c r="J116" s="1286"/>
      <c r="K116" s="697"/>
      <c r="L116" s="703"/>
      <c r="M116" s="563">
        <f>B91</f>
        <v>2023</v>
      </c>
      <c r="N116" s="563">
        <f>D91</f>
        <v>2022</v>
      </c>
      <c r="O116" s="704"/>
      <c r="P116" s="564">
        <f>F91</f>
        <v>2021</v>
      </c>
      <c r="Q116" s="342"/>
      <c r="R116" s="465" t="s">
        <v>120</v>
      </c>
    </row>
    <row r="117" spans="1:18" ht="23.25" hidden="1">
      <c r="A117" s="150" t="s">
        <v>121</v>
      </c>
      <c r="B117" s="21"/>
      <c r="C117" s="743"/>
      <c r="D117" s="758"/>
      <c r="E117" s="361"/>
      <c r="F117" s="21"/>
      <c r="G117" s="21"/>
      <c r="H117" s="146"/>
      <c r="I117" s="925" t="s">
        <v>122</v>
      </c>
      <c r="J117" s="926"/>
      <c r="K117" s="927"/>
      <c r="L117" s="705" t="s">
        <v>123</v>
      </c>
      <c r="M117" s="776">
        <f>B118</f>
        <v>-64087</v>
      </c>
      <c r="N117" s="333">
        <f>D118</f>
        <v>-90582</v>
      </c>
      <c r="O117" s="6"/>
      <c r="P117" s="706">
        <f>F118</f>
        <v>-147919</v>
      </c>
      <c r="Q117" s="342"/>
      <c r="R117" s="362" t="s">
        <v>124</v>
      </c>
    </row>
    <row r="118" spans="1:18" ht="35.25">
      <c r="A118" s="286" t="s">
        <v>125</v>
      </c>
      <c r="B118" s="21">
        <v>-64087</v>
      </c>
      <c r="C118" s="743"/>
      <c r="D118" s="757">
        <v>-90582</v>
      </c>
      <c r="E118" s="361"/>
      <c r="F118" s="21">
        <v>-147919</v>
      </c>
      <c r="G118" s="21"/>
      <c r="H118" s="146"/>
      <c r="I118" s="928"/>
      <c r="J118" s="929"/>
      <c r="K118" s="930"/>
      <c r="L118" s="707" t="s">
        <v>126</v>
      </c>
      <c r="M118" s="218">
        <f>B118</f>
        <v>-64087</v>
      </c>
      <c r="N118" s="21">
        <f>D118</f>
        <v>-90582</v>
      </c>
      <c r="O118" s="6"/>
      <c r="P118" s="869">
        <f>F118</f>
        <v>-147919</v>
      </c>
      <c r="Q118" s="342"/>
      <c r="R118" s="151"/>
    </row>
    <row r="119" spans="1:18" ht="27.95" hidden="1">
      <c r="A119" s="321" t="s">
        <v>127</v>
      </c>
      <c r="B119" s="21"/>
      <c r="C119" s="743"/>
      <c r="D119" s="763"/>
      <c r="E119" s="361"/>
      <c r="F119" s="155"/>
      <c r="G119" s="21"/>
      <c r="H119" s="146"/>
      <c r="I119" s="928"/>
      <c r="J119" s="929"/>
      <c r="K119" s="930"/>
      <c r="L119" s="705" t="s">
        <v>128</v>
      </c>
      <c r="M119" s="21">
        <f>B95</f>
        <v>88141</v>
      </c>
      <c r="N119" s="21">
        <f>C95</f>
        <v>0</v>
      </c>
      <c r="O119" s="6"/>
      <c r="P119" s="21">
        <f>E95</f>
        <v>0</v>
      </c>
      <c r="Q119" s="342"/>
      <c r="R119" s="362" t="s">
        <v>129</v>
      </c>
    </row>
    <row r="120" spans="1:18" hidden="1">
      <c r="A120" s="152" t="s">
        <v>130</v>
      </c>
      <c r="B120" s="21"/>
      <c r="C120" s="743"/>
      <c r="D120" s="763"/>
      <c r="E120" s="754"/>
      <c r="F120" s="108"/>
      <c r="G120" s="156"/>
      <c r="H120" s="146"/>
      <c r="I120" s="928"/>
      <c r="J120" s="929"/>
      <c r="K120" s="930"/>
      <c r="L120" s="709"/>
      <c r="M120" s="6"/>
      <c r="N120" s="6"/>
      <c r="O120" s="6"/>
      <c r="P120" s="708"/>
      <c r="Q120" s="342"/>
      <c r="R120" s="151"/>
    </row>
    <row r="121" spans="1:18" ht="57" hidden="1" thickBot="1">
      <c r="A121" s="321" t="s">
        <v>131</v>
      </c>
      <c r="B121" s="21"/>
      <c r="C121" s="743"/>
      <c r="D121" s="757"/>
      <c r="E121" s="361"/>
      <c r="F121" s="157"/>
      <c r="G121" s="21"/>
      <c r="H121" s="146"/>
      <c r="I121" s="928"/>
      <c r="J121" s="929"/>
      <c r="K121" s="930"/>
      <c r="L121" s="710" t="s">
        <v>132</v>
      </c>
      <c r="M121" s="711">
        <f>SUM(M117:M120)</f>
        <v>-40033</v>
      </c>
      <c r="N121" s="711">
        <f>SUM(N117:N120)</f>
        <v>-181164</v>
      </c>
      <c r="O121" s="712"/>
      <c r="P121" s="713">
        <f>SUM(P117:P120)</f>
        <v>-295838</v>
      </c>
      <c r="Q121" s="342"/>
      <c r="R121" s="151"/>
    </row>
    <row r="122" spans="1:18" hidden="1">
      <c r="A122" s="321" t="s">
        <v>133</v>
      </c>
      <c r="B122" s="305"/>
      <c r="C122" s="747"/>
      <c r="D122" s="764"/>
      <c r="E122" s="752"/>
      <c r="F122" s="305"/>
      <c r="G122" s="21"/>
      <c r="H122" s="146"/>
      <c r="I122" s="928"/>
      <c r="J122" s="929"/>
      <c r="K122" s="931"/>
      <c r="L122" s="702"/>
      <c r="M122" s="303"/>
      <c r="N122" s="303"/>
      <c r="O122" s="303"/>
      <c r="P122" s="351"/>
      <c r="Q122" s="6"/>
      <c r="R122" s="151"/>
    </row>
    <row r="123" spans="1:18">
      <c r="A123" s="440" t="s">
        <v>134</v>
      </c>
      <c r="B123" s="371">
        <v>1709</v>
      </c>
      <c r="C123" s="748"/>
      <c r="D123" s="765">
        <v>2076</v>
      </c>
      <c r="E123" s="755"/>
      <c r="F123" s="371">
        <v>1157</v>
      </c>
      <c r="G123" s="361"/>
      <c r="H123" s="146"/>
      <c r="I123" s="932"/>
      <c r="J123" s="933"/>
      <c r="K123" s="934"/>
      <c r="L123" s="147" t="s">
        <v>135</v>
      </c>
      <c r="M123" s="6">
        <v>0</v>
      </c>
      <c r="N123" s="6">
        <v>0</v>
      </c>
      <c r="O123" s="6"/>
      <c r="P123" s="349"/>
      <c r="Q123" s="6"/>
      <c r="R123" s="151"/>
    </row>
    <row r="124" spans="1:18" ht="35.25">
      <c r="A124" s="446" t="s">
        <v>136</v>
      </c>
      <c r="B124" s="334">
        <v>0</v>
      </c>
      <c r="C124" s="749"/>
      <c r="D124" s="766">
        <v>0</v>
      </c>
      <c r="E124" s="595"/>
      <c r="F124" s="334">
        <v>145</v>
      </c>
      <c r="G124" s="21"/>
      <c r="H124" s="146"/>
      <c r="I124" s="932"/>
      <c r="J124" s="933"/>
      <c r="K124" s="934"/>
      <c r="L124" s="870" t="s">
        <v>137</v>
      </c>
      <c r="M124" s="21">
        <f>B95</f>
        <v>88141</v>
      </c>
      <c r="N124" s="21">
        <f>D95</f>
        <v>81356</v>
      </c>
      <c r="O124" s="6"/>
      <c r="P124" s="871">
        <f>F95</f>
        <v>72096</v>
      </c>
      <c r="Q124" s="6"/>
      <c r="R124" s="151"/>
    </row>
    <row r="125" spans="1:18" ht="23.25">
      <c r="A125" s="447" t="s">
        <v>138</v>
      </c>
      <c r="B125" s="445">
        <f>SUM(B117:B124)</f>
        <v>-62378</v>
      </c>
      <c r="C125" s="750"/>
      <c r="D125" s="767">
        <f>SUM(D117:D124)</f>
        <v>-88506</v>
      </c>
      <c r="E125" s="756"/>
      <c r="F125" s="445">
        <f>SUM(F117:F124)</f>
        <v>-146617</v>
      </c>
      <c r="G125" s="137"/>
      <c r="H125" s="158"/>
      <c r="I125" s="935"/>
      <c r="J125" s="936"/>
      <c r="K125" s="937"/>
      <c r="L125" s="870" t="s">
        <v>139</v>
      </c>
      <c r="M125" s="21">
        <f>M124+(M118)</f>
        <v>24054</v>
      </c>
      <c r="N125" s="21">
        <f>N124+(N118)</f>
        <v>-9226</v>
      </c>
      <c r="O125" s="6"/>
      <c r="P125" s="871">
        <f>P124+(P118)</f>
        <v>-75823</v>
      </c>
      <c r="Q125" s="6"/>
      <c r="R125" s="151"/>
    </row>
    <row r="126" spans="1:18" ht="12.75">
      <c r="A126" s="443"/>
      <c r="B126" s="333"/>
      <c r="C126" s="746"/>
      <c r="D126" s="762"/>
      <c r="E126" s="650"/>
      <c r="F126" s="333"/>
      <c r="G126" s="21"/>
      <c r="H126" s="6"/>
      <c r="I126" s="145"/>
      <c r="J126" s="145"/>
      <c r="K126" s="145"/>
      <c r="L126" s="6"/>
      <c r="M126" s="6"/>
      <c r="N126" s="6"/>
      <c r="O126" s="6"/>
      <c r="P126" s="349"/>
      <c r="Q126" s="6"/>
      <c r="R126" s="151"/>
    </row>
    <row r="127" spans="1:18" ht="18" customHeight="1">
      <c r="A127" s="420" t="s">
        <v>140</v>
      </c>
      <c r="B127" s="21"/>
      <c r="C127" s="743"/>
      <c r="D127" s="758"/>
      <c r="E127" s="361"/>
      <c r="F127" s="21"/>
      <c r="G127" s="21"/>
      <c r="H127" s="6"/>
      <c r="I127" s="586" t="s">
        <v>141</v>
      </c>
      <c r="J127" s="292"/>
      <c r="K127" s="292"/>
      <c r="L127" s="292"/>
      <c r="M127" s="6"/>
      <c r="N127" s="292"/>
      <c r="O127" s="292"/>
      <c r="P127" s="350"/>
      <c r="Q127" s="292"/>
      <c r="R127" s="457"/>
    </row>
    <row r="128" spans="1:18" ht="23.25" customHeight="1">
      <c r="A128" s="321" t="s">
        <v>142</v>
      </c>
      <c r="B128" s="21"/>
      <c r="C128" s="743"/>
      <c r="D128" s="763"/>
      <c r="E128" s="361"/>
      <c r="F128" s="21"/>
      <c r="G128" s="21"/>
      <c r="H128" s="360"/>
      <c r="I128" s="920" t="s">
        <v>143</v>
      </c>
      <c r="J128" s="921"/>
      <c r="K128" s="921"/>
      <c r="L128" s="922"/>
      <c r="M128" s="293"/>
      <c r="N128" s="715">
        <f>B91</f>
        <v>2023</v>
      </c>
      <c r="O128" s="716"/>
      <c r="P128" s="717">
        <f>D91</f>
        <v>2022</v>
      </c>
      <c r="Q128" s="716"/>
      <c r="R128" s="718">
        <f>F91</f>
        <v>2021</v>
      </c>
    </row>
    <row r="129" spans="1:18" ht="16.5" customHeight="1">
      <c r="A129" s="321" t="s">
        <v>144</v>
      </c>
      <c r="B129" s="21"/>
      <c r="C129" s="743"/>
      <c r="D129" s="757"/>
      <c r="E129" s="361"/>
      <c r="F129" s="21"/>
      <c r="G129" s="21"/>
      <c r="H129" s="360"/>
      <c r="I129" s="945"/>
      <c r="J129" s="946"/>
      <c r="K129" s="946"/>
      <c r="L129" s="947"/>
      <c r="M129" s="714" t="s">
        <v>145</v>
      </c>
      <c r="N129" s="719">
        <f>B128</f>
        <v>0</v>
      </c>
      <c r="O129" s="453"/>
      <c r="P129" s="456">
        <f>D128</f>
        <v>0</v>
      </c>
      <c r="Q129" s="453"/>
      <c r="R129" s="720">
        <f>F128</f>
        <v>0</v>
      </c>
    </row>
    <row r="130" spans="1:18" ht="12.75">
      <c r="A130" s="321" t="s">
        <v>146</v>
      </c>
      <c r="B130" s="21">
        <v>-92877</v>
      </c>
      <c r="C130" s="743"/>
      <c r="D130" s="757">
        <v>0</v>
      </c>
      <c r="E130" s="361"/>
      <c r="F130" s="21">
        <v>0</v>
      </c>
      <c r="G130" s="21"/>
      <c r="H130" s="355"/>
      <c r="I130" s="920"/>
      <c r="J130" s="921"/>
      <c r="K130" s="922"/>
      <c r="L130" s="917" t="s">
        <v>147</v>
      </c>
      <c r="M130" s="918"/>
      <c r="N130" s="721">
        <f>B129</f>
        <v>0</v>
      </c>
      <c r="O130" s="453"/>
      <c r="P130" s="454">
        <f>D129</f>
        <v>0</v>
      </c>
      <c r="Q130" s="453"/>
      <c r="R130" s="722">
        <f>F129</f>
        <v>0</v>
      </c>
    </row>
    <row r="131" spans="1:18" ht="29.25" customHeight="1">
      <c r="A131" s="322" t="s">
        <v>148</v>
      </c>
      <c r="B131" s="21">
        <v>11723</v>
      </c>
      <c r="C131" s="743"/>
      <c r="D131" s="758">
        <v>7946</v>
      </c>
      <c r="E131" s="361"/>
      <c r="F131" s="21">
        <v>10465</v>
      </c>
      <c r="G131" s="21"/>
      <c r="H131" s="355"/>
      <c r="I131" s="587"/>
      <c r="J131" s="588"/>
      <c r="K131" s="588"/>
      <c r="L131" s="919" t="s">
        <v>149</v>
      </c>
      <c r="M131" s="919"/>
      <c r="N131" s="723"/>
      <c r="O131" s="724"/>
      <c r="P131" s="725"/>
      <c r="Q131" s="724"/>
      <c r="R131" s="726">
        <f>SUM(R129:R130)</f>
        <v>0</v>
      </c>
    </row>
    <row r="132" spans="1:18" ht="24" customHeight="1">
      <c r="A132" s="81" t="s">
        <v>150</v>
      </c>
      <c r="B132" s="21">
        <v>-2113</v>
      </c>
      <c r="C132" s="743"/>
      <c r="D132" s="758">
        <v>-3474</v>
      </c>
      <c r="E132" s="361"/>
      <c r="F132" s="21">
        <v>-15536</v>
      </c>
      <c r="G132" s="21"/>
      <c r="H132" s="355"/>
      <c r="I132" s="587"/>
      <c r="J132" s="587"/>
      <c r="K132" s="587"/>
      <c r="L132" s="587"/>
      <c r="M132" s="587"/>
      <c r="N132" s="730"/>
      <c r="O132" s="730"/>
      <c r="P132" s="730"/>
      <c r="Q132" s="730"/>
      <c r="R132" s="730"/>
    </row>
    <row r="133" spans="1:18" ht="15" hidden="1" customHeight="1">
      <c r="A133" s="322" t="s">
        <v>151</v>
      </c>
      <c r="B133" s="21"/>
      <c r="C133" s="743"/>
      <c r="D133" s="758"/>
      <c r="E133" s="361"/>
      <c r="F133" s="21"/>
      <c r="G133" s="21"/>
      <c r="H133" s="355"/>
      <c r="I133" s="587"/>
      <c r="J133" s="587"/>
      <c r="K133" s="587"/>
      <c r="L133" s="587"/>
      <c r="M133" s="727"/>
      <c r="N133" s="731">
        <f>N128</f>
        <v>2023</v>
      </c>
      <c r="O133" s="732"/>
      <c r="P133" s="733">
        <f>P128</f>
        <v>2022</v>
      </c>
      <c r="Q133" s="732"/>
      <c r="R133" s="734">
        <f>R128</f>
        <v>2021</v>
      </c>
    </row>
    <row r="134" spans="1:18" ht="15" customHeight="1">
      <c r="A134" s="777" t="s">
        <v>152</v>
      </c>
      <c r="B134" s="305">
        <v>0</v>
      </c>
      <c r="C134" s="747"/>
      <c r="D134" s="760">
        <v>30000</v>
      </c>
      <c r="E134" s="752"/>
      <c r="F134" s="305">
        <v>0</v>
      </c>
      <c r="G134" s="21"/>
      <c r="H134" s="355"/>
      <c r="I134" s="356"/>
      <c r="J134" s="356"/>
      <c r="K134" s="356"/>
      <c r="L134" s="356"/>
      <c r="M134" s="356"/>
      <c r="N134" s="778"/>
      <c r="O134" s="779"/>
      <c r="P134" s="779"/>
      <c r="Q134" s="779"/>
      <c r="R134" s="780"/>
    </row>
    <row r="135" spans="1:18" ht="15" customHeight="1">
      <c r="A135" s="777" t="s">
        <v>153</v>
      </c>
      <c r="B135" s="305">
        <v>0</v>
      </c>
      <c r="C135" s="747"/>
      <c r="D135" s="760">
        <v>-30000</v>
      </c>
      <c r="E135" s="752"/>
      <c r="F135" s="305">
        <v>0</v>
      </c>
      <c r="G135" s="21"/>
      <c r="H135" s="355"/>
      <c r="I135" s="356"/>
      <c r="J135" s="356"/>
      <c r="K135" s="356"/>
      <c r="L135" s="356"/>
      <c r="M135" s="356"/>
      <c r="N135" s="778"/>
      <c r="O135" s="779"/>
      <c r="P135" s="779"/>
      <c r="Q135" s="779"/>
      <c r="R135" s="780"/>
    </row>
    <row r="136" spans="1:18" ht="26.1" customHeight="1" thickBot="1">
      <c r="A136" s="446" t="s">
        <v>154</v>
      </c>
      <c r="B136" s="305">
        <v>-1575</v>
      </c>
      <c r="C136" s="747"/>
      <c r="D136" s="764">
        <v>-1672</v>
      </c>
      <c r="E136" s="752"/>
      <c r="F136" s="305">
        <v>-1570</v>
      </c>
      <c r="G136" s="21"/>
      <c r="H136" s="1287"/>
      <c r="I136" s="940" t="s">
        <v>155</v>
      </c>
      <c r="J136" s="941"/>
      <c r="K136" s="941"/>
      <c r="L136" s="970"/>
      <c r="M136" s="728" t="s">
        <v>156</v>
      </c>
      <c r="N136" s="735">
        <v>0</v>
      </c>
      <c r="O136" s="6"/>
      <c r="P136" s="351">
        <v>0</v>
      </c>
      <c r="Q136" s="6"/>
      <c r="R136" s="736">
        <v>0</v>
      </c>
    </row>
    <row r="137" spans="1:18" ht="29.1" thickBot="1">
      <c r="A137" s="444" t="s">
        <v>157</v>
      </c>
      <c r="B137" s="445">
        <f>SUM(B128:B136)</f>
        <v>-84842</v>
      </c>
      <c r="C137" s="750"/>
      <c r="D137" s="767">
        <f>SUM(D128:D136)</f>
        <v>2800</v>
      </c>
      <c r="E137" s="756"/>
      <c r="F137" s="445">
        <f>SUM(F128:F136)</f>
        <v>-6641</v>
      </c>
      <c r="G137" s="137"/>
      <c r="H137" s="1274"/>
      <c r="I137" s="940"/>
      <c r="J137" s="941"/>
      <c r="K137" s="941"/>
      <c r="L137" s="970"/>
      <c r="M137" s="729" t="s">
        <v>158</v>
      </c>
      <c r="N137" s="872">
        <f>B130</f>
        <v>-92877</v>
      </c>
      <c r="O137" s="6"/>
      <c r="P137" s="349">
        <v>0</v>
      </c>
      <c r="Q137" s="6"/>
      <c r="R137" s="737">
        <v>0</v>
      </c>
    </row>
    <row r="138" spans="1:18" ht="15" thickBot="1">
      <c r="A138" s="443"/>
      <c r="B138" s="333"/>
      <c r="C138" s="333"/>
      <c r="D138" s="443"/>
      <c r="E138" s="333"/>
      <c r="F138" s="333"/>
      <c r="G138" s="21"/>
      <c r="H138" s="360"/>
      <c r="I138" s="942"/>
      <c r="J138" s="943"/>
      <c r="K138" s="943"/>
      <c r="L138" s="944"/>
      <c r="M138" s="729" t="s">
        <v>159</v>
      </c>
      <c r="N138" s="738">
        <f>SUM(N136:N137)</f>
        <v>-92877</v>
      </c>
      <c r="O138" s="712"/>
      <c r="P138" s="739">
        <f>SUM(P136:P137)</f>
        <v>0</v>
      </c>
      <c r="Q138" s="712"/>
      <c r="R138" s="740">
        <f>SUM(R136:R137)</f>
        <v>0</v>
      </c>
    </row>
    <row r="139" spans="1:18" ht="29.1" customHeight="1">
      <c r="A139" s="441" t="s">
        <v>160</v>
      </c>
      <c r="B139" s="305">
        <v>0</v>
      </c>
      <c r="C139" s="305"/>
      <c r="D139" s="442">
        <v>0</v>
      </c>
      <c r="E139" s="305"/>
      <c r="F139" s="305">
        <v>-39468</v>
      </c>
      <c r="G139" s="137"/>
      <c r="H139" s="357"/>
      <c r="I139" s="938" t="s">
        <v>161</v>
      </c>
      <c r="J139" s="939"/>
      <c r="K139" s="939"/>
      <c r="L139" s="939"/>
      <c r="M139" s="939"/>
      <c r="N139" s="939"/>
      <c r="O139" s="939"/>
      <c r="P139" s="939"/>
      <c r="Q139" s="939"/>
      <c r="R139" s="971"/>
    </row>
    <row r="140" spans="1:18" ht="15" thickBot="1">
      <c r="A140" s="450" t="s">
        <v>162</v>
      </c>
      <c r="B140" s="445">
        <f>B114+B125+B137+B139</f>
        <v>117931</v>
      </c>
      <c r="C140" s="451"/>
      <c r="D140" s="445">
        <f>D114+D125+D137+D139</f>
        <v>114239</v>
      </c>
      <c r="E140" s="445"/>
      <c r="F140" s="445">
        <f>F114+F125+F137+F139</f>
        <v>-136429</v>
      </c>
      <c r="G140" s="137"/>
      <c r="H140" s="358"/>
      <c r="I140" s="942"/>
      <c r="J140" s="943"/>
      <c r="K140" s="943"/>
      <c r="L140" s="943"/>
      <c r="M140" s="943"/>
      <c r="N140" s="943"/>
      <c r="O140" s="943"/>
      <c r="P140" s="943"/>
      <c r="Q140" s="943"/>
      <c r="R140" s="944"/>
    </row>
    <row r="141" spans="1:18" ht="14.1">
      <c r="A141" s="448" t="s">
        <v>163</v>
      </c>
      <c r="B141" s="341">
        <f>180560</f>
        <v>180560</v>
      </c>
      <c r="C141" s="333"/>
      <c r="D141" s="449">
        <v>66321</v>
      </c>
      <c r="E141" s="333"/>
      <c r="F141" s="452">
        <v>163282</v>
      </c>
      <c r="G141" s="21"/>
      <c r="H141" s="6"/>
      <c r="I141" s="356"/>
      <c r="J141" s="356"/>
      <c r="K141" s="356"/>
      <c r="L141" s="303"/>
      <c r="M141" s="303"/>
      <c r="N141" s="303"/>
      <c r="O141" s="303"/>
      <c r="P141" s="741"/>
      <c r="Q141" s="303"/>
      <c r="R141" s="458"/>
    </row>
    <row r="142" spans="1:18" ht="27.95">
      <c r="A142" s="159" t="s">
        <v>164</v>
      </c>
      <c r="B142" s="160">
        <f>B140+B141</f>
        <v>298491</v>
      </c>
      <c r="C142" s="161"/>
      <c r="D142" s="160">
        <f>D140+D141</f>
        <v>180560</v>
      </c>
      <c r="E142" s="161"/>
      <c r="F142" s="160">
        <f>F140+F141</f>
        <v>26853</v>
      </c>
      <c r="G142" s="161"/>
      <c r="H142" s="162"/>
      <c r="J142" s="6"/>
      <c r="K142" s="6"/>
      <c r="L142" s="6"/>
      <c r="M142" s="6"/>
      <c r="N142" s="6"/>
      <c r="O142" s="349"/>
      <c r="P142" s="349"/>
      <c r="Q142" s="6"/>
      <c r="R142" s="151"/>
    </row>
    <row r="143" spans="1:18" ht="14.1" thickBot="1">
      <c r="A143" s="163"/>
      <c r="B143" s="164"/>
      <c r="C143" s="165"/>
      <c r="D143" s="164"/>
      <c r="E143" s="165"/>
      <c r="F143" s="164"/>
      <c r="G143" s="165"/>
      <c r="H143" s="549"/>
      <c r="I143" s="549"/>
      <c r="J143" s="549"/>
      <c r="K143" s="549"/>
      <c r="L143" s="549"/>
      <c r="M143" s="549"/>
      <c r="N143" s="549"/>
      <c r="O143" s="549"/>
      <c r="P143" s="550"/>
      <c r="Q143" s="549"/>
      <c r="R143" s="551"/>
    </row>
    <row r="144" spans="1:18" ht="30" customHeight="1" thickBot="1">
      <c r="A144" s="463"/>
      <c r="B144" s="166">
        <f>B91</f>
        <v>2023</v>
      </c>
      <c r="C144" s="167"/>
      <c r="D144" s="166">
        <f>D91</f>
        <v>2022</v>
      </c>
      <c r="E144" s="167"/>
      <c r="F144" s="166">
        <f>F91</f>
        <v>2021</v>
      </c>
      <c r="G144" s="548"/>
      <c r="H144" s="967" t="s">
        <v>165</v>
      </c>
      <c r="I144" s="968"/>
      <c r="J144" s="968"/>
      <c r="K144" s="969"/>
      <c r="L144" s="965" t="s">
        <v>166</v>
      </c>
      <c r="M144" s="966"/>
      <c r="N144" s="962" t="s">
        <v>167</v>
      </c>
      <c r="O144" s="963"/>
      <c r="P144" s="963"/>
      <c r="Q144" s="963"/>
      <c r="R144" s="964"/>
    </row>
    <row r="145" spans="1:18" ht="86.25" customHeight="1">
      <c r="A145" s="464" t="s">
        <v>168</v>
      </c>
      <c r="B145" s="459">
        <f>B85/B150</f>
        <v>6.22804868087887</v>
      </c>
      <c r="C145" s="168"/>
      <c r="D145" s="169">
        <f>D85/D150</f>
        <v>5.4609888771616468</v>
      </c>
      <c r="E145" s="170"/>
      <c r="F145" s="169">
        <f>F85/F150</f>
        <v>1.1850977198697068</v>
      </c>
      <c r="G145" s="170"/>
      <c r="H145" s="553"/>
      <c r="I145" s="958" t="s">
        <v>169</v>
      </c>
      <c r="J145" s="959"/>
      <c r="K145" s="356"/>
      <c r="L145" s="960" t="s">
        <v>170</v>
      </c>
      <c r="M145" s="961"/>
      <c r="N145" s="955" t="s">
        <v>171</v>
      </c>
      <c r="O145" s="956"/>
      <c r="P145" s="956"/>
      <c r="Q145" s="956"/>
      <c r="R145" s="957"/>
    </row>
    <row r="146" spans="1:18" ht="29.1" hidden="1" thickBot="1">
      <c r="A146" s="464" t="s">
        <v>172</v>
      </c>
      <c r="B146" s="460"/>
      <c r="C146" s="171"/>
      <c r="D146" s="171"/>
      <c r="E146" s="172"/>
      <c r="F146" s="171"/>
      <c r="G146" s="172"/>
      <c r="H146" s="552"/>
      <c r="I146" s="948"/>
      <c r="J146" s="949"/>
      <c r="L146" s="950"/>
      <c r="M146" s="951"/>
      <c r="N146" s="952"/>
      <c r="O146" s="953"/>
      <c r="P146" s="953"/>
      <c r="Q146" s="953"/>
      <c r="R146" s="954"/>
    </row>
    <row r="147" spans="1:18" ht="12.75" hidden="1">
      <c r="A147" s="785" t="s">
        <v>173</v>
      </c>
      <c r="B147" s="460">
        <f>-B133</f>
        <v>0</v>
      </c>
      <c r="C147" s="171"/>
      <c r="D147" s="171">
        <f>-D133</f>
        <v>0</v>
      </c>
      <c r="E147" s="172"/>
      <c r="F147" s="171">
        <f>-F133</f>
        <v>0</v>
      </c>
      <c r="G147" s="172"/>
      <c r="H147" s="552"/>
      <c r="I147" s="972"/>
      <c r="J147" s="973"/>
      <c r="K147" s="554"/>
      <c r="L147" s="972"/>
      <c r="M147" s="973"/>
      <c r="N147" s="972"/>
      <c r="O147" s="974"/>
      <c r="P147" s="974"/>
      <c r="Q147" s="974"/>
      <c r="R147" s="973"/>
    </row>
    <row r="148" spans="1:18" ht="15" hidden="1" thickBot="1">
      <c r="A148" s="464" t="s">
        <v>174</v>
      </c>
      <c r="B148" s="461">
        <f>B147/B150</f>
        <v>0</v>
      </c>
      <c r="C148" s="173"/>
      <c r="D148" s="173">
        <f>D147/D150</f>
        <v>0</v>
      </c>
      <c r="E148" s="174"/>
      <c r="F148" s="173">
        <f>F147/F150</f>
        <v>0</v>
      </c>
      <c r="G148" s="174"/>
      <c r="H148" s="552"/>
      <c r="I148" s="972"/>
      <c r="J148" s="973"/>
      <c r="K148" s="554"/>
      <c r="L148" s="972"/>
      <c r="M148" s="973"/>
      <c r="N148" s="972"/>
      <c r="O148" s="974"/>
      <c r="P148" s="974"/>
      <c r="Q148" s="974"/>
      <c r="R148" s="973"/>
    </row>
    <row r="149" spans="1:18" ht="102" customHeight="1">
      <c r="A149" s="464" t="s">
        <v>175</v>
      </c>
      <c r="B149" s="742">
        <v>241.54</v>
      </c>
      <c r="C149" s="175"/>
      <c r="D149" s="175">
        <v>420.83</v>
      </c>
      <c r="E149" s="176"/>
      <c r="F149" s="175">
        <v>505.1</v>
      </c>
      <c r="G149" s="176"/>
      <c r="H149" s="552"/>
      <c r="I149" s="972" t="s">
        <v>176</v>
      </c>
      <c r="J149" s="973"/>
      <c r="K149" s="554"/>
      <c r="L149" s="972" t="s">
        <v>177</v>
      </c>
      <c r="M149" s="973"/>
      <c r="N149" s="975" t="s">
        <v>178</v>
      </c>
      <c r="O149" s="974"/>
      <c r="P149" s="974"/>
      <c r="Q149" s="974"/>
      <c r="R149" s="973"/>
    </row>
    <row r="150" spans="1:18" ht="119.25" customHeight="1">
      <c r="A150" s="785" t="s">
        <v>179</v>
      </c>
      <c r="B150" s="786">
        <v>12243</v>
      </c>
      <c r="C150" s="462"/>
      <c r="D150" s="177">
        <v>12317</v>
      </c>
      <c r="E150" s="178"/>
      <c r="F150" s="177">
        <v>12280</v>
      </c>
      <c r="G150" s="178"/>
      <c r="H150" s="555"/>
      <c r="I150" s="976" t="s">
        <v>169</v>
      </c>
      <c r="J150" s="977"/>
      <c r="K150" s="556"/>
      <c r="L150" s="976" t="s">
        <v>170</v>
      </c>
      <c r="M150" s="977"/>
      <c r="N150" s="978" t="s">
        <v>180</v>
      </c>
      <c r="O150" s="979"/>
      <c r="P150" s="979"/>
      <c r="Q150" s="979"/>
      <c r="R150" s="977"/>
    </row>
  </sheetData>
  <mergeCells count="51">
    <mergeCell ref="I149:J149"/>
    <mergeCell ref="L149:M149"/>
    <mergeCell ref="N149:R149"/>
    <mergeCell ref="I150:J150"/>
    <mergeCell ref="L150:M150"/>
    <mergeCell ref="N150:R150"/>
    <mergeCell ref="I147:J147"/>
    <mergeCell ref="L147:M147"/>
    <mergeCell ref="N147:R147"/>
    <mergeCell ref="I148:J148"/>
    <mergeCell ref="L148:M148"/>
    <mergeCell ref="N148:R148"/>
    <mergeCell ref="H136:H137"/>
    <mergeCell ref="N144:R144"/>
    <mergeCell ref="L144:M144"/>
    <mergeCell ref="H144:K144"/>
    <mergeCell ref="I136:L138"/>
    <mergeCell ref="I139:R140"/>
    <mergeCell ref="I146:J146"/>
    <mergeCell ref="L146:M146"/>
    <mergeCell ref="N146:R146"/>
    <mergeCell ref="N145:R145"/>
    <mergeCell ref="I145:J145"/>
    <mergeCell ref="L145:M145"/>
    <mergeCell ref="L130:M130"/>
    <mergeCell ref="L131:M131"/>
    <mergeCell ref="I130:K130"/>
    <mergeCell ref="A88:G90"/>
    <mergeCell ref="I91:K91"/>
    <mergeCell ref="I92:J92"/>
    <mergeCell ref="I116:J116"/>
    <mergeCell ref="I117:K125"/>
    <mergeCell ref="I93:K114"/>
    <mergeCell ref="L86:N113"/>
    <mergeCell ref="I128:L129"/>
    <mergeCell ref="A1:G3"/>
    <mergeCell ref="L1:N3"/>
    <mergeCell ref="L64:N66"/>
    <mergeCell ref="A49:F49"/>
    <mergeCell ref="A50:F50"/>
    <mergeCell ref="A51:F51"/>
    <mergeCell ref="A64:G66"/>
    <mergeCell ref="I64:K66"/>
    <mergeCell ref="P1:R3"/>
    <mergeCell ref="P64:R66"/>
    <mergeCell ref="I87:K90"/>
    <mergeCell ref="I1:J3"/>
    <mergeCell ref="I47:J62"/>
    <mergeCell ref="L47:N62"/>
    <mergeCell ref="P47:R62"/>
    <mergeCell ref="P86:R113"/>
  </mergeCells>
  <pageMargins left="0.75" right="0.75" top="0.56000000000000005" bottom="1" header="0.5" footer="0.5"/>
  <pageSetup scale="31"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9"/>
  <sheetViews>
    <sheetView showGridLines="0" tabSelected="1" zoomScale="113" zoomScaleNormal="130" workbookViewId="0">
      <pane ySplit="3" topLeftCell="A4" activePane="bottomLeft" state="frozen"/>
      <selection pane="bottomLeft" activeCell="I180" sqref="I180"/>
    </sheetView>
  </sheetViews>
  <sheetFormatPr defaultColWidth="8.85546875" defaultRowHeight="12.75" customHeight="1"/>
  <cols>
    <col min="1" max="1" width="31.28515625" style="1" customWidth="1"/>
    <col min="2" max="2" width="16" style="1" customWidth="1"/>
    <col min="3" max="3" width="17.5703125" style="1" customWidth="1"/>
    <col min="4" max="4" width="16.140625" style="1" customWidth="1"/>
    <col min="5" max="5" width="9.5703125" style="1" customWidth="1"/>
    <col min="6" max="6" width="16.5703125" style="1" customWidth="1"/>
    <col min="7" max="7" width="10.28515625" style="1" customWidth="1"/>
    <col min="8" max="8" width="36.5703125" style="1" customWidth="1"/>
    <col min="9" max="9" width="26" style="1" customWidth="1"/>
    <col min="10" max="10" width="55.7109375" style="1" customWidth="1"/>
    <col min="11" max="11" width="8.85546875" style="1" customWidth="1"/>
    <col min="12" max="16384" width="8.85546875" style="1"/>
  </cols>
  <sheetData>
    <row r="1" spans="1:10" ht="14.85" customHeight="1" thickBot="1">
      <c r="A1" s="179" t="s">
        <v>181</v>
      </c>
      <c r="B1" s="1100" t="s">
        <v>182</v>
      </c>
      <c r="C1" s="1101"/>
      <c r="D1" s="1101"/>
      <c r="E1" s="1101"/>
      <c r="F1" s="1101"/>
      <c r="G1" s="1102"/>
      <c r="H1" s="1074" t="s">
        <v>165</v>
      </c>
      <c r="I1" s="1094" t="s">
        <v>166</v>
      </c>
      <c r="J1" s="1097" t="s">
        <v>167</v>
      </c>
    </row>
    <row r="2" spans="1:10" ht="14.85" customHeight="1" thickBot="1">
      <c r="A2" s="179" t="s">
        <v>183</v>
      </c>
      <c r="B2" s="1100" t="s">
        <v>184</v>
      </c>
      <c r="C2" s="1101"/>
      <c r="D2" s="1101"/>
      <c r="E2" s="1101"/>
      <c r="F2" s="1101"/>
      <c r="G2" s="1102"/>
      <c r="H2" s="1075"/>
      <c r="I2" s="1095"/>
      <c r="J2" s="1098"/>
    </row>
    <row r="3" spans="1:10" ht="15.2" customHeight="1" thickBot="1">
      <c r="A3" s="313" t="s">
        <v>185</v>
      </c>
      <c r="B3" s="1070">
        <f>'Finl Stmts'!B4</f>
        <v>2023</v>
      </c>
      <c r="C3" s="1288"/>
      <c r="D3" s="1070">
        <f>'Finl Stmts'!D4</f>
        <v>2022</v>
      </c>
      <c r="E3" s="1288"/>
      <c r="F3" s="1070">
        <f>'Finl Stmts'!F4</f>
        <v>2021</v>
      </c>
      <c r="G3" s="1288"/>
      <c r="H3" s="1075"/>
      <c r="I3" s="1096"/>
      <c r="J3" s="1099"/>
    </row>
    <row r="4" spans="1:10" ht="16.5" customHeight="1" thickBot="1">
      <c r="A4" s="1083" t="s">
        <v>186</v>
      </c>
      <c r="B4" s="1084"/>
      <c r="C4" s="1084"/>
      <c r="D4" s="1084"/>
      <c r="E4" s="1084"/>
      <c r="F4" s="1084"/>
      <c r="G4" s="1084"/>
      <c r="H4" s="1084"/>
      <c r="I4" s="1084"/>
      <c r="J4" s="1085"/>
    </row>
    <row r="5" spans="1:10" ht="27.95" customHeight="1">
      <c r="A5" s="1042" t="s">
        <v>187</v>
      </c>
      <c r="B5" s="1043"/>
      <c r="C5" s="1043"/>
      <c r="D5" s="1043"/>
      <c r="E5" s="1043"/>
      <c r="F5" s="1043"/>
      <c r="G5" s="1044"/>
      <c r="H5" s="1076" t="s">
        <v>188</v>
      </c>
      <c r="I5" s="1026" t="s">
        <v>189</v>
      </c>
      <c r="J5" s="1129" t="s">
        <v>190</v>
      </c>
    </row>
    <row r="6" spans="1:10" ht="13.7" customHeight="1">
      <c r="A6" s="507" t="s">
        <v>191</v>
      </c>
      <c r="B6" s="341">
        <f>'Finl Stmts'!B11</f>
        <v>503510</v>
      </c>
      <c r="C6" s="1062">
        <f>B6/B7</f>
        <v>2.2549801153667013</v>
      </c>
      <c r="D6" s="508">
        <f>'Finl Stmts'!D11</f>
        <v>423269</v>
      </c>
      <c r="E6" s="1062">
        <f>D6/D7</f>
        <v>2.0721359788903739</v>
      </c>
      <c r="F6" s="508">
        <f>'Finl Stmts'!F11</f>
        <v>345341</v>
      </c>
      <c r="G6" s="1064">
        <f>F6/F7</f>
        <v>1.3537157103321757</v>
      </c>
      <c r="H6" s="1289"/>
      <c r="I6" s="1027"/>
      <c r="J6" s="1290"/>
    </row>
    <row r="7" spans="1:10" ht="13.7" customHeight="1">
      <c r="A7" s="55" t="s">
        <v>192</v>
      </c>
      <c r="B7" s="20">
        <f>'Finl Stmts'!B29</f>
        <v>223288</v>
      </c>
      <c r="C7" s="1063"/>
      <c r="D7" s="181">
        <f>'Finl Stmts'!D29</f>
        <v>204267</v>
      </c>
      <c r="E7" s="1063"/>
      <c r="F7" s="181">
        <f>'Finl Stmts'!F29</f>
        <v>255106</v>
      </c>
      <c r="G7" s="1065"/>
      <c r="H7" s="1289"/>
      <c r="I7" s="1027"/>
      <c r="J7" s="1290"/>
    </row>
    <row r="8" spans="1:10" ht="14.25" customHeight="1" thickBot="1">
      <c r="A8" s="314"/>
      <c r="B8" s="292"/>
      <c r="C8" s="510"/>
      <c r="D8" s="511"/>
      <c r="E8" s="622"/>
      <c r="F8" s="623"/>
      <c r="G8" s="622"/>
      <c r="H8" s="1289"/>
      <c r="I8" s="1028"/>
      <c r="J8" s="1291"/>
    </row>
    <row r="9" spans="1:10" ht="26.1" customHeight="1">
      <c r="A9" s="1142" t="s">
        <v>193</v>
      </c>
      <c r="B9" s="993"/>
      <c r="C9" s="993"/>
      <c r="D9" s="993"/>
      <c r="E9" s="993"/>
      <c r="F9" s="993"/>
      <c r="G9" s="994"/>
      <c r="H9" s="1292" t="s">
        <v>188</v>
      </c>
      <c r="I9" s="1132" t="s">
        <v>189</v>
      </c>
      <c r="J9" s="1147" t="s">
        <v>194</v>
      </c>
    </row>
    <row r="10" spans="1:10" ht="29.1" customHeight="1">
      <c r="A10" s="624" t="s">
        <v>195</v>
      </c>
      <c r="B10" s="625">
        <f>'Finl Stmts'!B6+'Finl Stmts'!B7+'Finl Stmts'!B8</f>
        <v>365488</v>
      </c>
      <c r="C10" s="1066">
        <f>B10/B11</f>
        <v>1.6368456880799684</v>
      </c>
      <c r="D10" s="625">
        <f>'Finl Stmts'!D6+'Finl Stmts'!D7+'Finl Stmts'!D8</f>
        <v>237232</v>
      </c>
      <c r="E10" s="1066">
        <f>D10/D11</f>
        <v>1.1613819168049659</v>
      </c>
      <c r="F10" s="625">
        <f>'Finl Stmts'!F6+'Finl Stmts'!F7+'Finl Stmts'!F8</f>
        <v>121343</v>
      </c>
      <c r="G10" s="1068">
        <f>F10/F11</f>
        <v>0.47565717780060052</v>
      </c>
      <c r="H10" s="1293"/>
      <c r="I10" s="1133"/>
      <c r="J10" s="1294"/>
    </row>
    <row r="11" spans="1:10" ht="14.25" customHeight="1" thickBot="1">
      <c r="A11" s="483" t="s">
        <v>192</v>
      </c>
      <c r="B11" s="484">
        <f>'Finl Stmts'!B29</f>
        <v>223288</v>
      </c>
      <c r="C11" s="1071"/>
      <c r="D11" s="318">
        <f>'Finl Stmts'!D29</f>
        <v>204267</v>
      </c>
      <c r="E11" s="1067"/>
      <c r="F11" s="318">
        <f>'Finl Stmts'!F29</f>
        <v>255106</v>
      </c>
      <c r="G11" s="1069"/>
      <c r="H11" s="1295"/>
      <c r="I11" s="1134"/>
      <c r="J11" s="1296"/>
    </row>
    <row r="12" spans="1:10" ht="14.85" customHeight="1" thickBot="1">
      <c r="A12" s="626"/>
      <c r="B12" s="627"/>
      <c r="C12" s="627"/>
      <c r="D12" s="627"/>
      <c r="E12" s="628"/>
      <c r="F12" s="629"/>
      <c r="G12" s="628"/>
      <c r="H12" s="494"/>
      <c r="I12" s="494"/>
      <c r="J12" s="495"/>
    </row>
    <row r="13" spans="1:10" ht="14.85" customHeight="1">
      <c r="A13" s="1037" t="s">
        <v>196</v>
      </c>
      <c r="B13" s="1038"/>
      <c r="C13" s="1038"/>
      <c r="D13" s="1038"/>
      <c r="E13" s="1038"/>
      <c r="F13" s="1038"/>
      <c r="G13" s="1039"/>
      <c r="H13" s="1135" t="s">
        <v>197</v>
      </c>
      <c r="I13" s="1132" t="s">
        <v>198</v>
      </c>
      <c r="J13" s="1132" t="s">
        <v>199</v>
      </c>
    </row>
    <row r="14" spans="1:10" ht="14.85" customHeight="1">
      <c r="A14" s="630" t="s">
        <v>200</v>
      </c>
      <c r="B14" s="631">
        <f>'Finl Stmts'!B6+'Finl Stmts'!B7</f>
        <v>298491</v>
      </c>
      <c r="C14" s="1060">
        <f>B14/B15</f>
        <v>1.3367982157572282</v>
      </c>
      <c r="D14" s="631">
        <f>'Finl Stmts'!D6+'Finl Stmts'!D7</f>
        <v>180560</v>
      </c>
      <c r="E14" s="1060">
        <f>D14/D15</f>
        <v>0.88394111628407912</v>
      </c>
      <c r="F14" s="631">
        <f>'Finl Stmts'!F6+'Finl Stmts'!F7</f>
        <v>66321</v>
      </c>
      <c r="G14" s="1126">
        <f>F14/F15</f>
        <v>0.25997428519909371</v>
      </c>
      <c r="H14" s="1133"/>
      <c r="I14" s="1133"/>
      <c r="J14" s="1133"/>
    </row>
    <row r="15" spans="1:10" ht="14.85" customHeight="1" thickBot="1">
      <c r="A15" s="483" t="s">
        <v>192</v>
      </c>
      <c r="B15" s="493">
        <f>'Finl Stmts'!B29</f>
        <v>223288</v>
      </c>
      <c r="C15" s="1061"/>
      <c r="D15" s="493">
        <f>'Finl Stmts'!D29</f>
        <v>204267</v>
      </c>
      <c r="E15" s="1061"/>
      <c r="F15" s="493">
        <f>'Finl Stmts'!F29</f>
        <v>255106</v>
      </c>
      <c r="G15" s="1127"/>
      <c r="H15" s="1134"/>
      <c r="I15" s="1134"/>
      <c r="J15" s="1134"/>
    </row>
    <row r="16" spans="1:10" ht="14.85" customHeight="1" thickBot="1">
      <c r="A16" s="529"/>
      <c r="B16" s="627"/>
      <c r="C16" s="627"/>
      <c r="D16" s="627"/>
      <c r="E16" s="628"/>
      <c r="F16" s="629"/>
      <c r="G16" s="628"/>
      <c r="H16" s="494"/>
      <c r="I16" s="494"/>
      <c r="J16" s="487"/>
    </row>
    <row r="17" spans="1:10" ht="14.85" customHeight="1">
      <c r="A17" s="1032" t="s">
        <v>201</v>
      </c>
      <c r="B17" s="1033"/>
      <c r="C17" s="1033"/>
      <c r="D17" s="1033"/>
      <c r="E17" s="1033"/>
      <c r="F17" s="1033"/>
      <c r="G17" s="1033"/>
      <c r="H17" s="1033"/>
      <c r="I17" s="1033"/>
      <c r="J17" s="1147" t="s">
        <v>202</v>
      </c>
    </row>
    <row r="18" spans="1:10" ht="57" customHeight="1">
      <c r="A18" s="488" t="s">
        <v>203</v>
      </c>
      <c r="B18" s="489">
        <f>'Finl Stmts'!B114+'Finl Stmts'!B118+'Finl Stmts'!B122</f>
        <v>201064</v>
      </c>
      <c r="C18" s="490"/>
      <c r="D18" s="489">
        <f>'Finl Stmts'!D114+'Finl Stmts'!D118+'Finl Stmts'!D122</f>
        <v>109363</v>
      </c>
      <c r="E18" s="490"/>
      <c r="F18" s="489">
        <f>'Finl Stmts'!F114+'Finl Stmts'!F118+'Finl Stmts'!F122</f>
        <v>-91622</v>
      </c>
      <c r="G18" s="490"/>
      <c r="H18" s="868" t="s">
        <v>188</v>
      </c>
      <c r="I18" s="873" t="s">
        <v>189</v>
      </c>
      <c r="J18" s="1296"/>
    </row>
    <row r="19" spans="1:10" ht="14.85" customHeight="1" thickBot="1">
      <c r="A19" s="632"/>
      <c r="B19" s="307"/>
      <c r="C19" s="308"/>
      <c r="D19" s="309"/>
      <c r="E19" s="633"/>
      <c r="F19" s="634"/>
      <c r="G19" s="633"/>
      <c r="H19" s="287"/>
      <c r="I19" s="287"/>
      <c r="J19" s="306"/>
    </row>
    <row r="20" spans="1:10" ht="24.95" customHeight="1">
      <c r="A20" s="1034" t="s">
        <v>204</v>
      </c>
      <c r="B20" s="1035"/>
      <c r="C20" s="1035"/>
      <c r="D20" s="1035"/>
      <c r="E20" s="1035"/>
      <c r="F20" s="1035"/>
      <c r="G20" s="1036"/>
      <c r="H20" s="1297" t="s">
        <v>188</v>
      </c>
      <c r="I20" s="1040" t="s">
        <v>205</v>
      </c>
      <c r="J20" s="1148" t="s">
        <v>206</v>
      </c>
    </row>
    <row r="21" spans="1:10" ht="26.1" customHeight="1" thickBot="1">
      <c r="A21" s="635" t="s">
        <v>207</v>
      </c>
      <c r="B21" s="636">
        <f>'Finl Stmts'!B114</f>
        <v>265151</v>
      </c>
      <c r="C21" s="1298">
        <f>B21/B22</f>
        <v>1.1874843251764537</v>
      </c>
      <c r="D21" s="560">
        <f>'Finl Stmts'!D114</f>
        <v>199945</v>
      </c>
      <c r="E21" s="1298">
        <f>D21/D22</f>
        <v>0.97884141833972205</v>
      </c>
      <c r="F21" s="560">
        <f>'Finl Stmts'!F114</f>
        <v>56297</v>
      </c>
      <c r="G21" s="1298">
        <f>F21/F22</f>
        <v>0.22068081503375067</v>
      </c>
      <c r="H21" s="1289"/>
      <c r="I21" s="1027"/>
      <c r="J21" s="1290"/>
    </row>
    <row r="22" spans="1:10" ht="25.7" customHeight="1" thickBot="1">
      <c r="A22" s="482" t="s">
        <v>192</v>
      </c>
      <c r="B22" s="36">
        <f>'Finl Stmts'!B29</f>
        <v>223288</v>
      </c>
      <c r="C22" s="1299"/>
      <c r="D22" s="36">
        <f>'Finl Stmts'!D29</f>
        <v>204267</v>
      </c>
      <c r="E22" s="1299"/>
      <c r="F22" s="36">
        <f>'Finl Stmts'!F29</f>
        <v>255106</v>
      </c>
      <c r="G22" s="1299"/>
      <c r="H22" s="1300"/>
      <c r="I22" s="1041"/>
      <c r="J22" s="1301"/>
    </row>
    <row r="23" spans="1:10" ht="15.2" customHeight="1" thickBot="1">
      <c r="A23" s="496"/>
      <c r="B23" s="98"/>
      <c r="C23" s="98"/>
      <c r="D23" s="98"/>
      <c r="E23" s="485"/>
      <c r="F23" s="486"/>
      <c r="G23" s="485"/>
      <c r="H23" s="485"/>
      <c r="I23" s="485"/>
      <c r="J23" s="487"/>
    </row>
    <row r="24" spans="1:10" ht="16.5" customHeight="1" thickBot="1">
      <c r="A24" s="1080" t="s">
        <v>208</v>
      </c>
      <c r="B24" s="1081"/>
      <c r="C24" s="1081"/>
      <c r="D24" s="1081"/>
      <c r="E24" s="1081"/>
      <c r="F24" s="1081"/>
      <c r="G24" s="1081"/>
      <c r="H24" s="1081"/>
      <c r="I24" s="1081"/>
      <c r="J24" s="1082"/>
    </row>
    <row r="25" spans="1:10" ht="16.5" customHeight="1" thickBot="1">
      <c r="A25" s="546"/>
      <c r="B25" s="1103">
        <f>B3</f>
        <v>2023</v>
      </c>
      <c r="C25" s="1302"/>
      <c r="D25" s="1103">
        <f>D3</f>
        <v>2022</v>
      </c>
      <c r="E25" s="1302"/>
      <c r="F25" s="1103">
        <f>F3</f>
        <v>2021</v>
      </c>
      <c r="G25" s="1302"/>
      <c r="H25" s="547"/>
      <c r="I25" s="547"/>
      <c r="J25" s="546"/>
    </row>
    <row r="26" spans="1:10" ht="14.85" customHeight="1">
      <c r="A26" s="1034" t="s">
        <v>209</v>
      </c>
      <c r="B26" s="1035"/>
      <c r="C26" s="1035"/>
      <c r="D26" s="1035"/>
      <c r="E26" s="1035"/>
      <c r="F26" s="1035"/>
      <c r="G26" s="1036"/>
      <c r="H26" s="1029" t="s">
        <v>210</v>
      </c>
      <c r="I26" s="1030" t="s">
        <v>211</v>
      </c>
      <c r="J26" s="1147" t="s">
        <v>212</v>
      </c>
    </row>
    <row r="27" spans="1:10" ht="13.7" customHeight="1">
      <c r="A27" s="507" t="s">
        <v>70</v>
      </c>
      <c r="B27" s="341">
        <f>'Finl Stmts'!B69</f>
        <v>1156256</v>
      </c>
      <c r="C27" s="1064">
        <f>B27/B28</f>
        <v>8.7521222603634055</v>
      </c>
      <c r="D27" s="508">
        <f>'Finl Stmts'!D69</f>
        <v>1228348</v>
      </c>
      <c r="E27" s="1064">
        <f>D27/D28</f>
        <v>8.2559146144746745</v>
      </c>
      <c r="F27" s="508">
        <f>'Finl Stmts'!F69</f>
        <v>1259830</v>
      </c>
      <c r="G27" s="1064">
        <f>F27/F28</f>
        <v>8.4485441060100062</v>
      </c>
      <c r="H27" s="1027"/>
      <c r="I27" s="1031"/>
      <c r="J27" s="1294"/>
    </row>
    <row r="28" spans="1:10" ht="13.7" customHeight="1">
      <c r="A28" s="55" t="s">
        <v>213</v>
      </c>
      <c r="B28" s="20">
        <f>('Finl Stmts'!B9+'Finl Stmts'!D9)/2</f>
        <v>132111.5</v>
      </c>
      <c r="C28" s="1072"/>
      <c r="D28" s="20">
        <f>('Finl Stmts'!D9+'Finl Stmts'!F9)/2</f>
        <v>148784</v>
      </c>
      <c r="E28" s="1065"/>
      <c r="F28" s="181">
        <f>('Finl Stmts'!F9)</f>
        <v>149118</v>
      </c>
      <c r="G28" s="1065"/>
      <c r="H28" s="1027"/>
      <c r="I28" s="1031"/>
      <c r="J28" s="1294"/>
    </row>
    <row r="29" spans="1:10" ht="14.25" customHeight="1" thickBot="1">
      <c r="A29" s="314"/>
      <c r="B29" s="292"/>
      <c r="C29" s="510"/>
      <c r="D29" s="511"/>
      <c r="E29" s="622"/>
      <c r="F29" s="623"/>
      <c r="G29" s="622"/>
      <c r="H29" s="1027"/>
      <c r="I29" s="1031"/>
      <c r="J29" s="1296"/>
    </row>
    <row r="30" spans="1:10" ht="24.95" customHeight="1">
      <c r="A30" s="991" t="s">
        <v>214</v>
      </c>
      <c r="B30" s="993"/>
      <c r="C30" s="993"/>
      <c r="D30" s="993"/>
      <c r="E30" s="993"/>
      <c r="F30" s="993"/>
      <c r="G30" s="993"/>
      <c r="H30" s="993"/>
      <c r="I30" s="994"/>
      <c r="J30" s="1149" t="s">
        <v>215</v>
      </c>
    </row>
    <row r="31" spans="1:10" ht="13.7" customHeight="1">
      <c r="A31" s="637">
        <v>365</v>
      </c>
      <c r="B31" s="638">
        <f t="shared" ref="B31:F31" si="0">365</f>
        <v>365</v>
      </c>
      <c r="C31" s="1179">
        <f>B31/B32</f>
        <v>41.704170616195718</v>
      </c>
      <c r="D31" s="312">
        <f t="shared" si="0"/>
        <v>365</v>
      </c>
      <c r="E31" s="1179">
        <f>D31/D32</f>
        <v>44.210728555751302</v>
      </c>
      <c r="F31" s="312">
        <f t="shared" si="0"/>
        <v>365</v>
      </c>
      <c r="G31" s="1179">
        <f>F31/F32</f>
        <v>43.202709889429521</v>
      </c>
      <c r="H31" s="639"/>
      <c r="I31" s="639"/>
      <c r="J31" s="1290"/>
    </row>
    <row r="32" spans="1:10" ht="14.25" customHeight="1">
      <c r="A32" s="189" t="s">
        <v>216</v>
      </c>
      <c r="B32" s="192">
        <f>C27</f>
        <v>8.7521222603634055</v>
      </c>
      <c r="C32" s="1208"/>
      <c r="D32" s="193">
        <f>E27</f>
        <v>8.2559146144746745</v>
      </c>
      <c r="E32" s="1208"/>
      <c r="F32" s="193">
        <f>G27</f>
        <v>8.4485441060100062</v>
      </c>
      <c r="G32" s="1208"/>
      <c r="H32" s="640" t="s">
        <v>217</v>
      </c>
      <c r="I32" s="874" t="s">
        <v>218</v>
      </c>
      <c r="J32" s="1301"/>
    </row>
    <row r="33" spans="1:10" ht="14.85" customHeight="1" thickBot="1">
      <c r="A33" s="182"/>
      <c r="B33" s="183"/>
      <c r="C33" s="184"/>
      <c r="D33" s="185"/>
      <c r="E33" s="186"/>
      <c r="F33" s="187"/>
      <c r="G33" s="186"/>
      <c r="H33" s="287"/>
      <c r="I33" s="287"/>
      <c r="J33" s="188"/>
    </row>
    <row r="34" spans="1:10" ht="14.25" customHeight="1">
      <c r="A34" s="1106" t="s">
        <v>219</v>
      </c>
      <c r="B34" s="1107"/>
      <c r="C34" s="1107"/>
      <c r="D34" s="1107"/>
      <c r="E34" s="1107"/>
      <c r="F34" s="1107"/>
      <c r="G34" s="1107"/>
      <c r="H34" s="1108"/>
      <c r="I34" s="642"/>
      <c r="J34" s="1148" t="s">
        <v>220</v>
      </c>
    </row>
    <row r="35" spans="1:10" ht="13.7" customHeight="1">
      <c r="A35" s="194" t="s">
        <v>221</v>
      </c>
      <c r="B35" s="195">
        <f>'Finl Stmts'!B8</f>
        <v>66997</v>
      </c>
      <c r="C35" s="1213">
        <f>B35/B36</f>
        <v>12.174450183583298</v>
      </c>
      <c r="D35" s="195">
        <f>'Finl Stmts'!D8</f>
        <v>56672</v>
      </c>
      <c r="E35" s="1209">
        <f>D35/D36</f>
        <v>9.895681742726282</v>
      </c>
      <c r="F35" s="196">
        <f>'Finl Stmts'!F8</f>
        <v>55022</v>
      </c>
      <c r="G35" s="1210">
        <f>F35/F36</f>
        <v>9.7603106887465234</v>
      </c>
      <c r="H35" s="1077" t="s">
        <v>222</v>
      </c>
      <c r="I35" s="1136" t="s">
        <v>223</v>
      </c>
      <c r="J35" s="1303"/>
    </row>
    <row r="36" spans="1:10" ht="24.75" customHeight="1">
      <c r="A36" s="197" t="s">
        <v>224</v>
      </c>
      <c r="B36" s="21">
        <f>'Finl Stmts'!B68/365</f>
        <v>5503.0821917808216</v>
      </c>
      <c r="C36" s="1112"/>
      <c r="D36" s="191">
        <f>'Finl Stmts'!D68/365</f>
        <v>5726.9424657534246</v>
      </c>
      <c r="E36" s="1112"/>
      <c r="F36" s="191">
        <f>'Finl Stmts'!F68/365</f>
        <v>5637.3205479452054</v>
      </c>
      <c r="G36" s="1160"/>
      <c r="H36" s="1078"/>
      <c r="I36" s="1078"/>
      <c r="J36" s="1303"/>
    </row>
    <row r="37" spans="1:10" ht="14.25" customHeight="1" thickBot="1">
      <c r="A37" s="198" t="s">
        <v>225</v>
      </c>
      <c r="B37" s="103"/>
      <c r="C37" s="104"/>
      <c r="D37" s="102"/>
      <c r="E37" s="104"/>
      <c r="F37" s="102"/>
      <c r="G37" s="641"/>
      <c r="H37" s="1079"/>
      <c r="I37" s="1079"/>
      <c r="J37" s="1304"/>
    </row>
    <row r="38" spans="1:10" ht="14.85" customHeight="1" thickBot="1">
      <c r="A38" s="514"/>
      <c r="B38" s="307"/>
      <c r="C38" s="308"/>
      <c r="D38" s="309"/>
      <c r="E38" s="308"/>
      <c r="F38" s="309"/>
      <c r="G38" s="308"/>
      <c r="H38" s="291"/>
      <c r="I38" s="291"/>
      <c r="J38" s="188"/>
    </row>
    <row r="39" spans="1:10" ht="18" customHeight="1">
      <c r="A39" s="1137" t="s">
        <v>226</v>
      </c>
      <c r="B39" s="1138"/>
      <c r="C39" s="1138"/>
      <c r="D39" s="1138"/>
      <c r="E39" s="1138"/>
      <c r="F39" s="1138"/>
      <c r="G39" s="1138"/>
      <c r="H39" s="1138"/>
      <c r="I39" s="1139"/>
      <c r="J39" s="1073" t="s">
        <v>227</v>
      </c>
    </row>
    <row r="40" spans="1:10" ht="13.7" customHeight="1">
      <c r="A40" s="515">
        <v>365</v>
      </c>
      <c r="B40" s="458">
        <v>365</v>
      </c>
      <c r="C40" s="1298">
        <f>B40/B41</f>
        <v>27.067943863642654</v>
      </c>
      <c r="D40" s="335">
        <v>365</v>
      </c>
      <c r="E40" s="1298">
        <f>D40/D41</f>
        <v>25.282460670754542</v>
      </c>
      <c r="F40" s="335">
        <v>365</v>
      </c>
      <c r="G40" s="1298">
        <f>F40/F41</f>
        <v>24.89288237301858</v>
      </c>
      <c r="H40" s="1140" t="s">
        <v>222</v>
      </c>
      <c r="I40" s="988" t="s">
        <v>228</v>
      </c>
      <c r="J40" s="1303"/>
    </row>
    <row r="41" spans="1:10" ht="25.35" customHeight="1" thickBot="1">
      <c r="A41" s="189" t="s">
        <v>229</v>
      </c>
      <c r="B41" s="199">
        <f>'Finl Stmts'!B69/(('Finl Stmts'!B23+'Finl Stmts'!D23)/2)</f>
        <v>13.484585376662604</v>
      </c>
      <c r="C41" s="1299"/>
      <c r="D41" s="200">
        <f>'Finl Stmts'!D69/(('Finl Stmts'!D23+'Finl Stmts'!F23)/2)</f>
        <v>14.43688590099196</v>
      </c>
      <c r="E41" s="1299"/>
      <c r="F41" s="200">
        <f>'Finl Stmts'!F69/'Finl Stmts'!F23</f>
        <v>14.662825884543762</v>
      </c>
      <c r="G41" s="1299"/>
      <c r="H41" s="1141"/>
      <c r="I41" s="990"/>
      <c r="J41" s="1304"/>
    </row>
    <row r="42" spans="1:10" ht="14.85" customHeight="1" thickBot="1">
      <c r="A42" s="201" t="s">
        <v>230</v>
      </c>
      <c r="B42" s="202"/>
      <c r="C42" s="203"/>
      <c r="D42" s="204"/>
      <c r="E42" s="203"/>
      <c r="F42" s="204"/>
      <c r="G42" s="203"/>
      <c r="H42" s="288"/>
      <c r="I42" s="643"/>
      <c r="J42" s="180"/>
    </row>
    <row r="43" spans="1:10" ht="14.85" customHeight="1" thickBot="1">
      <c r="A43" s="506"/>
      <c r="B43" s="307"/>
      <c r="C43" s="510"/>
      <c r="D43" s="309"/>
      <c r="E43" s="510"/>
      <c r="F43" s="309"/>
      <c r="G43" s="510"/>
      <c r="H43" s="455"/>
      <c r="I43" s="455"/>
      <c r="J43" s="205"/>
    </row>
    <row r="44" spans="1:10" ht="20.100000000000001" customHeight="1">
      <c r="A44" s="991" t="s">
        <v>231</v>
      </c>
      <c r="B44" s="993"/>
      <c r="C44" s="993"/>
      <c r="D44" s="993"/>
      <c r="E44" s="993"/>
      <c r="F44" s="993"/>
      <c r="G44" s="993"/>
      <c r="H44" s="993"/>
      <c r="I44" s="994"/>
      <c r="J44" s="1073" t="s">
        <v>232</v>
      </c>
    </row>
    <row r="45" spans="1:10" ht="32.1" customHeight="1" thickBot="1">
      <c r="A45" s="517" t="s">
        <v>233</v>
      </c>
      <c r="B45" s="303"/>
      <c r="C45" s="516">
        <f>C31+C35</f>
        <v>53.878620799779014</v>
      </c>
      <c r="D45" s="311"/>
      <c r="E45" s="516">
        <f>E31+E35</f>
        <v>54.106410298477584</v>
      </c>
      <c r="F45" s="311"/>
      <c r="G45" s="518">
        <f>G31+G35</f>
        <v>52.963020578176042</v>
      </c>
      <c r="H45" s="644" t="s">
        <v>210</v>
      </c>
      <c r="I45" s="644" t="s">
        <v>234</v>
      </c>
      <c r="J45" s="1304"/>
    </row>
    <row r="46" spans="1:10" ht="14.25" customHeight="1" thickBot="1">
      <c r="A46" s="509"/>
      <c r="B46" s="292"/>
      <c r="C46" s="510"/>
      <c r="D46" s="511"/>
      <c r="E46" s="510"/>
      <c r="F46" s="511"/>
      <c r="G46" s="510"/>
      <c r="H46" s="289"/>
      <c r="I46" s="289"/>
      <c r="J46" s="524"/>
    </row>
    <row r="47" spans="1:10" ht="24" customHeight="1">
      <c r="A47" s="991" t="s">
        <v>235</v>
      </c>
      <c r="B47" s="993"/>
      <c r="C47" s="993"/>
      <c r="D47" s="993"/>
      <c r="E47" s="993"/>
      <c r="F47" s="993"/>
      <c r="G47" s="993"/>
      <c r="H47" s="993"/>
      <c r="I47" s="994"/>
      <c r="J47" s="988" t="s">
        <v>236</v>
      </c>
    </row>
    <row r="48" spans="1:10" ht="25.35" customHeight="1">
      <c r="A48" s="646" t="s">
        <v>237</v>
      </c>
      <c r="B48" s="512"/>
      <c r="C48" s="513">
        <f>C45-C40</f>
        <v>26.81067693613636</v>
      </c>
      <c r="D48" s="316"/>
      <c r="E48" s="513">
        <f>E45-E40</f>
        <v>28.823949627723042</v>
      </c>
      <c r="F48" s="316"/>
      <c r="G48" s="519">
        <f>G45-G40</f>
        <v>28.070138205157463</v>
      </c>
      <c r="H48" s="644" t="s">
        <v>217</v>
      </c>
      <c r="I48" s="875" t="s">
        <v>238</v>
      </c>
      <c r="J48" s="990"/>
    </row>
    <row r="49" spans="1:10" ht="14.85" customHeight="1" thickBot="1">
      <c r="A49" s="506"/>
      <c r="B49" s="307"/>
      <c r="C49" s="308"/>
      <c r="D49" s="309"/>
      <c r="E49" s="308"/>
      <c r="F49" s="309"/>
      <c r="G49" s="308"/>
      <c r="H49" s="291"/>
      <c r="I49" s="291"/>
      <c r="J49" s="306"/>
    </row>
    <row r="50" spans="1:10" ht="18" customHeight="1">
      <c r="A50" s="991" t="s">
        <v>239</v>
      </c>
      <c r="B50" s="993"/>
      <c r="C50" s="993"/>
      <c r="D50" s="993"/>
      <c r="E50" s="993"/>
      <c r="F50" s="993"/>
      <c r="G50" s="993"/>
      <c r="H50" s="993"/>
      <c r="I50" s="994"/>
      <c r="J50" s="1073" t="s">
        <v>240</v>
      </c>
    </row>
    <row r="51" spans="1:10" ht="13.7" customHeight="1">
      <c r="A51" s="507" t="s">
        <v>69</v>
      </c>
      <c r="B51" s="341">
        <f>'Finl Stmts'!B68</f>
        <v>2008625</v>
      </c>
      <c r="C51" s="1158">
        <f>B51/B52</f>
        <v>3.0656248616853552</v>
      </c>
      <c r="D51" s="508">
        <f>'Finl Stmts'!D68</f>
        <v>2090334</v>
      </c>
      <c r="E51" s="1158">
        <f>D51/D52</f>
        <v>3.1369345791026499</v>
      </c>
      <c r="F51" s="508">
        <f>'Finl Stmts'!F68</f>
        <v>2057622</v>
      </c>
      <c r="G51" s="1159">
        <f>F51/F52</f>
        <v>3.0950294442814918</v>
      </c>
      <c r="H51" s="999" t="s">
        <v>241</v>
      </c>
      <c r="I51" s="988" t="s">
        <v>242</v>
      </c>
      <c r="J51" s="1303"/>
    </row>
    <row r="52" spans="1:10" ht="13.7" customHeight="1">
      <c r="A52" s="55" t="s">
        <v>243</v>
      </c>
      <c r="B52" s="20">
        <f>('Finl Stmts'!B13+'Finl Stmts'!D13)/2</f>
        <v>655209</v>
      </c>
      <c r="C52" s="1112"/>
      <c r="D52" s="181">
        <f>('Finl Stmts'!D13+'Finl Stmts'!F13)/2</f>
        <v>666362</v>
      </c>
      <c r="E52" s="1112"/>
      <c r="F52" s="181">
        <f>'Finl Stmts'!F13</f>
        <v>664815</v>
      </c>
      <c r="G52" s="1160"/>
      <c r="H52" s="989"/>
      <c r="I52" s="989"/>
      <c r="J52" s="1303"/>
    </row>
    <row r="53" spans="1:10" ht="14.25" customHeight="1" thickBot="1">
      <c r="A53" s="314"/>
      <c r="B53" s="305"/>
      <c r="C53" s="510"/>
      <c r="D53" s="520"/>
      <c r="E53" s="510"/>
      <c r="F53" s="520"/>
      <c r="G53" s="455"/>
      <c r="H53" s="990"/>
      <c r="I53" s="990"/>
      <c r="J53" s="1304"/>
    </row>
    <row r="54" spans="1:10" ht="18.95" customHeight="1">
      <c r="A54" s="991" t="s">
        <v>244</v>
      </c>
      <c r="B54" s="993"/>
      <c r="C54" s="993"/>
      <c r="D54" s="993"/>
      <c r="E54" s="993"/>
      <c r="F54" s="993"/>
      <c r="G54" s="993"/>
      <c r="H54" s="993"/>
      <c r="I54" s="994"/>
      <c r="J54" s="1073" t="s">
        <v>245</v>
      </c>
    </row>
    <row r="55" spans="1:10" ht="13.7" customHeight="1">
      <c r="A55" s="507" t="s">
        <v>69</v>
      </c>
      <c r="B55" s="341">
        <f>'Finl Stmts'!B68</f>
        <v>2008625</v>
      </c>
      <c r="C55" s="1158">
        <f>B55/B56</f>
        <v>1.4091826547671749</v>
      </c>
      <c r="D55" s="508">
        <f>'Finl Stmts'!D68</f>
        <v>2090334</v>
      </c>
      <c r="E55" s="1158">
        <f>D55/D56</f>
        <v>1.4890768023587766</v>
      </c>
      <c r="F55" s="508">
        <f>'Finl Stmts'!F68</f>
        <v>2057622</v>
      </c>
      <c r="G55" s="1159">
        <f>F55/F56</f>
        <v>1.4837364722984978</v>
      </c>
      <c r="H55" s="984" t="s">
        <v>246</v>
      </c>
      <c r="I55" s="1001" t="s">
        <v>247</v>
      </c>
      <c r="J55" s="1303"/>
    </row>
    <row r="56" spans="1:10" ht="14.25" customHeight="1" thickBot="1">
      <c r="A56" s="55" t="s">
        <v>248</v>
      </c>
      <c r="B56" s="20">
        <f>('Finl Stmts'!B20+'Finl Stmts'!D20)/2</f>
        <v>1425383</v>
      </c>
      <c r="C56" s="1112"/>
      <c r="D56" s="181">
        <f>('Finl Stmts'!D20+'Finl Stmts'!F20)/2</f>
        <v>1403778.5</v>
      </c>
      <c r="E56" s="1105"/>
      <c r="F56" s="181">
        <f>'Finl Stmts'!F20</f>
        <v>1386784</v>
      </c>
      <c r="G56" s="1212"/>
      <c r="H56" s="1000"/>
      <c r="I56" s="1000"/>
      <c r="J56" s="1303"/>
    </row>
    <row r="57" spans="1:10" ht="15.2" customHeight="1" thickBot="1">
      <c r="A57" s="314"/>
      <c r="B57" s="1268"/>
      <c r="C57" s="1268"/>
      <c r="D57" s="1268"/>
      <c r="E57" s="1305"/>
      <c r="F57" s="1268"/>
      <c r="G57" s="1306"/>
      <c r="H57" s="985"/>
      <c r="I57" s="985"/>
      <c r="J57" s="1307"/>
    </row>
    <row r="58" spans="1:10" ht="16.5" customHeight="1" thickBot="1">
      <c r="A58" s="1086" t="s">
        <v>249</v>
      </c>
      <c r="B58" s="1087"/>
      <c r="C58" s="1087"/>
      <c r="D58" s="1087"/>
      <c r="E58" s="1087"/>
      <c r="F58" s="1087"/>
      <c r="G58" s="1087"/>
      <c r="H58" s="1087"/>
      <c r="I58" s="1087"/>
      <c r="J58" s="1088"/>
    </row>
    <row r="59" spans="1:10" ht="15.2" customHeight="1" thickBot="1">
      <c r="A59" s="526"/>
      <c r="B59" s="1151">
        <f>$B$3</f>
        <v>2023</v>
      </c>
      <c r="C59" s="1308"/>
      <c r="D59" s="1151">
        <f>$D$3</f>
        <v>2022</v>
      </c>
      <c r="E59" s="1308"/>
      <c r="F59" s="1151">
        <f>$F$3</f>
        <v>2021</v>
      </c>
      <c r="G59" s="1308"/>
      <c r="H59" s="98"/>
      <c r="I59" s="98"/>
      <c r="J59" s="315"/>
    </row>
    <row r="60" spans="1:10" ht="27.95" customHeight="1">
      <c r="A60" s="1032" t="s">
        <v>250</v>
      </c>
      <c r="B60" s="1033"/>
      <c r="C60" s="1033"/>
      <c r="D60" s="1033"/>
      <c r="E60" s="1033"/>
      <c r="F60" s="1033"/>
      <c r="G60" s="1033"/>
      <c r="H60" s="1033"/>
      <c r="I60" s="1128"/>
      <c r="J60" s="1073" t="s">
        <v>251</v>
      </c>
    </row>
    <row r="61" spans="1:10" ht="13.7" customHeight="1">
      <c r="A61" s="507" t="s">
        <v>252</v>
      </c>
      <c r="B61" s="508">
        <f>'Finl Stmts'!B28+'Finl Stmts'!B33</f>
        <v>45274</v>
      </c>
      <c r="C61" s="1056">
        <f>B61/B62</f>
        <v>4.0307940772950218E-2</v>
      </c>
      <c r="D61" s="508">
        <f>'Finl Stmts'!D28+'Finl Stmts'!D33</f>
        <v>54140</v>
      </c>
      <c r="E61" s="1056">
        <f>D61/D62</f>
        <v>4.8223506242601466E-2</v>
      </c>
      <c r="F61" s="508">
        <f>'Finl Stmts'!F28+'Finl Stmts'!F33</f>
        <v>61483</v>
      </c>
      <c r="G61" s="1153">
        <f>F61/F62</f>
        <v>5.884148792411082E-2</v>
      </c>
      <c r="H61" s="999" t="s">
        <v>217</v>
      </c>
      <c r="I61" s="988" t="s">
        <v>253</v>
      </c>
      <c r="J61" s="1303"/>
    </row>
    <row r="62" spans="1:10" ht="24.75" customHeight="1">
      <c r="A62" s="55" t="s">
        <v>254</v>
      </c>
      <c r="B62" s="20">
        <f>B61+'Finl Stmts'!B45</f>
        <v>1123203</v>
      </c>
      <c r="C62" s="1111"/>
      <c r="D62" s="20">
        <f>D61+'Finl Stmts'!D45</f>
        <v>1122689</v>
      </c>
      <c r="E62" s="1113"/>
      <c r="F62" s="181">
        <f>F61+'Finl Stmts'!F45</f>
        <v>1044892</v>
      </c>
      <c r="G62" s="1214"/>
      <c r="H62" s="989"/>
      <c r="I62" s="989"/>
      <c r="J62" s="1303"/>
    </row>
    <row r="63" spans="1:10" ht="14.25" customHeight="1" thickBot="1">
      <c r="A63" s="314"/>
      <c r="B63" s="305"/>
      <c r="C63" s="510"/>
      <c r="D63" s="520"/>
      <c r="E63" s="510"/>
      <c r="F63" s="520"/>
      <c r="G63" s="455"/>
      <c r="H63" s="990"/>
      <c r="I63" s="990"/>
      <c r="J63" s="1304"/>
    </row>
    <row r="64" spans="1:10" ht="14.85" customHeight="1" thickBot="1">
      <c r="A64" s="1034" t="s">
        <v>255</v>
      </c>
      <c r="B64" s="1035"/>
      <c r="C64" s="1035"/>
      <c r="D64" s="1035"/>
      <c r="E64" s="1035"/>
      <c r="F64" s="1035"/>
      <c r="G64" s="1035"/>
      <c r="H64" s="1035"/>
      <c r="I64" s="1036"/>
      <c r="J64" s="544"/>
    </row>
    <row r="65" spans="1:10" ht="25.35" customHeight="1">
      <c r="A65" s="534" t="s">
        <v>256</v>
      </c>
      <c r="B65" s="341">
        <f>'Finl Stmts'!B77</f>
        <v>100001</v>
      </c>
      <c r="C65" s="1104">
        <f>B65/B66</f>
        <v>71.0234375</v>
      </c>
      <c r="D65" s="508">
        <f>'Finl Stmts'!D77</f>
        <v>90791</v>
      </c>
      <c r="E65" s="1104">
        <f>D65/D66</f>
        <v>47.385699373695196</v>
      </c>
      <c r="F65" s="508">
        <f>'Finl Stmts'!F77</f>
        <v>7997</v>
      </c>
      <c r="G65" s="1211">
        <f>F65/F66</f>
        <v>8.1768916155419227</v>
      </c>
      <c r="H65" s="1077" t="s">
        <v>257</v>
      </c>
      <c r="I65" s="1136" t="s">
        <v>258</v>
      </c>
      <c r="J65" s="1216" t="s">
        <v>259</v>
      </c>
    </row>
    <row r="66" spans="1:10" ht="30" customHeight="1" thickBot="1">
      <c r="A66" s="206" t="s">
        <v>260</v>
      </c>
      <c r="B66" s="20">
        <f>-'Finl Stmts'!B80</f>
        <v>1408</v>
      </c>
      <c r="C66" s="1112"/>
      <c r="D66" s="181">
        <f>-'Finl Stmts'!D80</f>
        <v>1916</v>
      </c>
      <c r="E66" s="1105"/>
      <c r="F66" s="181">
        <f>-'Finl Stmts'!F80</f>
        <v>978</v>
      </c>
      <c r="G66" s="1212"/>
      <c r="H66" s="1079"/>
      <c r="I66" s="1079"/>
      <c r="J66" s="1304"/>
    </row>
    <row r="67" spans="1:10" ht="14.25" customHeight="1" thickBot="1">
      <c r="A67" s="314"/>
      <c r="B67" s="292"/>
      <c r="C67" s="292"/>
      <c r="D67" s="292"/>
      <c r="E67" s="307"/>
      <c r="F67" s="292"/>
      <c r="G67" s="307"/>
      <c r="H67" s="294"/>
      <c r="I67" s="294"/>
      <c r="J67" s="310"/>
    </row>
    <row r="68" spans="1:10" ht="15" customHeight="1" thickBot="1">
      <c r="A68" s="1186" t="s">
        <v>261</v>
      </c>
      <c r="B68" s="1187"/>
      <c r="C68" s="1187"/>
      <c r="D68" s="1187"/>
      <c r="E68" s="1187"/>
      <c r="F68" s="1187"/>
      <c r="G68" s="1187"/>
      <c r="H68" s="1187"/>
      <c r="I68" s="1187"/>
      <c r="J68" s="1215"/>
    </row>
    <row r="69" spans="1:10" ht="14.25" customHeight="1">
      <c r="A69" s="507" t="s">
        <v>252</v>
      </c>
      <c r="B69" s="333">
        <f>B61</f>
        <v>45274</v>
      </c>
      <c r="C69" s="1309">
        <f>B69/B70</f>
        <v>4.2000911006197995E-2</v>
      </c>
      <c r="D69" s="333">
        <f>D61</f>
        <v>54140</v>
      </c>
      <c r="E69" s="1309">
        <f>D69/D70</f>
        <v>5.0666838862794314E-2</v>
      </c>
      <c r="F69" s="333">
        <f>F61</f>
        <v>61483</v>
      </c>
      <c r="G69" s="1310">
        <f>F69/F70</f>
        <v>6.2520273863672191E-2</v>
      </c>
      <c r="H69" s="989" t="s">
        <v>257</v>
      </c>
      <c r="I69" s="1109" t="s">
        <v>262</v>
      </c>
      <c r="J69" s="1149" t="s">
        <v>263</v>
      </c>
    </row>
    <row r="70" spans="1:10" ht="14.85" customHeight="1">
      <c r="A70" s="304" t="s">
        <v>45</v>
      </c>
      <c r="B70" s="305">
        <f>'Finl Stmts'!B45</f>
        <v>1077929</v>
      </c>
      <c r="C70" s="1311"/>
      <c r="D70" s="305">
        <f>'Finl Stmts'!D45</f>
        <v>1068549</v>
      </c>
      <c r="E70" s="1311"/>
      <c r="F70" s="305">
        <f>'Finl Stmts'!F45</f>
        <v>983409</v>
      </c>
      <c r="G70" s="1312"/>
      <c r="H70" s="989"/>
      <c r="I70" s="989"/>
      <c r="J70" s="1307"/>
    </row>
    <row r="71" spans="1:10" ht="14.85" customHeight="1" thickBot="1">
      <c r="A71" s="529"/>
      <c r="B71" s="530"/>
      <c r="C71" s="531"/>
      <c r="D71" s="530"/>
      <c r="E71" s="531"/>
      <c r="F71" s="530"/>
      <c r="G71" s="542"/>
      <c r="H71" s="989"/>
      <c r="I71" s="989"/>
      <c r="J71" s="543"/>
    </row>
    <row r="72" spans="1:10" ht="14.85" customHeight="1" thickBot="1">
      <c r="A72" s="1205" t="s">
        <v>264</v>
      </c>
      <c r="B72" s="1206"/>
      <c r="C72" s="1206"/>
      <c r="D72" s="1206"/>
      <c r="E72" s="1206"/>
      <c r="F72" s="1206"/>
      <c r="G72" s="1206"/>
      <c r="H72" s="1206"/>
      <c r="I72" s="1206"/>
      <c r="J72" s="1207"/>
    </row>
    <row r="73" spans="1:10" ht="14.85" customHeight="1">
      <c r="A73" s="533" t="s">
        <v>34</v>
      </c>
      <c r="B73" s="532">
        <f>'Finl Stmts'!B34</f>
        <v>352064</v>
      </c>
      <c r="C73" s="1060">
        <f>B73/B74</f>
        <v>0.24619980657247972</v>
      </c>
      <c r="D73" s="532">
        <f>'Finl Stmts'!D34</f>
        <v>352224</v>
      </c>
      <c r="E73" s="1060">
        <f>D73/D74</f>
        <v>0.24791011653515374</v>
      </c>
      <c r="F73" s="532">
        <f>'Finl Stmts'!F34</f>
        <v>403375</v>
      </c>
      <c r="G73" s="1126">
        <f>F73/F74</f>
        <v>0.29087082054595381</v>
      </c>
      <c r="H73" s="989" t="s">
        <v>257</v>
      </c>
      <c r="I73" s="1109" t="s">
        <v>262</v>
      </c>
      <c r="J73" s="876" t="s">
        <v>265</v>
      </c>
    </row>
    <row r="74" spans="1:10" ht="14.85" customHeight="1">
      <c r="A74" s="527" t="s">
        <v>266</v>
      </c>
      <c r="B74" s="371">
        <f>'Finl Stmts'!B20</f>
        <v>1429993</v>
      </c>
      <c r="C74" s="1061"/>
      <c r="D74" s="371">
        <f>'Finl Stmts'!D20</f>
        <v>1420773</v>
      </c>
      <c r="E74" s="1061"/>
      <c r="F74" s="371">
        <f>'Finl Stmts'!F20</f>
        <v>1386784</v>
      </c>
      <c r="G74" s="1127"/>
      <c r="H74" s="989"/>
      <c r="I74" s="989"/>
      <c r="J74" s="528"/>
    </row>
    <row r="75" spans="1:10" ht="14.85" customHeight="1" thickBot="1">
      <c r="A75" s="529"/>
      <c r="B75" s="530"/>
      <c r="C75" s="531"/>
      <c r="D75" s="530"/>
      <c r="E75" s="531"/>
      <c r="F75" s="530"/>
      <c r="G75" s="542"/>
      <c r="H75" s="990"/>
      <c r="I75" s="990"/>
      <c r="J75" s="543"/>
    </row>
    <row r="76" spans="1:10" ht="14.85" customHeight="1" thickBot="1">
      <c r="A76" s="1190" t="s">
        <v>267</v>
      </c>
      <c r="B76" s="1191"/>
      <c r="C76" s="1191"/>
      <c r="D76" s="1191"/>
      <c r="E76" s="1191"/>
      <c r="F76" s="1191"/>
      <c r="G76" s="1191"/>
      <c r="H76" s="1191"/>
      <c r="I76" s="1191"/>
      <c r="J76" s="1192"/>
    </row>
    <row r="77" spans="1:10" ht="14.85" customHeight="1">
      <c r="A77" s="1195" t="s">
        <v>268</v>
      </c>
      <c r="B77" s="1196"/>
      <c r="C77" s="1196"/>
      <c r="D77" s="1196"/>
      <c r="E77" s="1196"/>
      <c r="F77" s="1196"/>
      <c r="G77" s="1196"/>
      <c r="H77" s="1196"/>
      <c r="I77" s="1196"/>
      <c r="J77" s="1197"/>
    </row>
    <row r="78" spans="1:10" ht="14.85" customHeight="1">
      <c r="A78" s="1114" t="s">
        <v>269</v>
      </c>
      <c r="B78" s="1115"/>
      <c r="C78" s="1115"/>
      <c r="D78" s="1115"/>
      <c r="E78" s="1115"/>
      <c r="F78" s="1115"/>
      <c r="G78" s="1115"/>
      <c r="H78" s="1116"/>
      <c r="I78" s="1116"/>
      <c r="J78" s="1117"/>
    </row>
    <row r="79" spans="1:10" ht="14.85" customHeight="1">
      <c r="A79" s="492" t="s">
        <v>270</v>
      </c>
      <c r="B79" s="371"/>
      <c r="C79" s="525"/>
      <c r="D79" s="371"/>
      <c r="E79" s="525"/>
      <c r="F79" s="371"/>
      <c r="G79" s="545"/>
      <c r="H79" s="999" t="s">
        <v>271</v>
      </c>
      <c r="I79" s="988" t="s">
        <v>272</v>
      </c>
      <c r="J79" s="988" t="s">
        <v>273</v>
      </c>
    </row>
    <row r="80" spans="1:10" ht="14.85" customHeight="1">
      <c r="A80" s="535" t="s">
        <v>274</v>
      </c>
      <c r="B80" s="537">
        <f>'Finl Stmts'!I77</f>
        <v>0.10144177286294898</v>
      </c>
      <c r="C80" s="1193"/>
      <c r="D80" s="537">
        <f>'Finl Stmts'!J77</f>
        <v>10.353132424659247</v>
      </c>
      <c r="E80" s="1193"/>
      <c r="F80" s="371"/>
      <c r="G80" s="545"/>
      <c r="H80" s="989"/>
      <c r="I80" s="989"/>
      <c r="J80" s="989"/>
    </row>
    <row r="81" spans="1:10" ht="14.85" customHeight="1">
      <c r="A81" s="527" t="s">
        <v>275</v>
      </c>
      <c r="B81" s="537">
        <f>'Finl Stmts'!I68</f>
        <v>-3.9088968557177944E-2</v>
      </c>
      <c r="C81" s="1194"/>
      <c r="D81" s="537">
        <f>'Finl Stmts'!J68</f>
        <v>1.5897963765939518E-2</v>
      </c>
      <c r="E81" s="1194"/>
      <c r="F81" s="371"/>
      <c r="G81" s="545"/>
      <c r="H81" s="989"/>
      <c r="I81" s="989"/>
      <c r="J81" s="989"/>
    </row>
    <row r="82" spans="1:10" ht="14.85" customHeight="1" thickBot="1">
      <c r="A82" s="491"/>
      <c r="B82" s="371"/>
      <c r="C82" s="525"/>
      <c r="D82" s="371"/>
      <c r="E82" s="525"/>
      <c r="F82" s="371"/>
      <c r="G82" s="545"/>
      <c r="H82" s="990"/>
      <c r="I82" s="990"/>
      <c r="J82" s="990"/>
    </row>
    <row r="83" spans="1:10" ht="14.85" customHeight="1" thickBot="1">
      <c r="A83" s="492" t="s">
        <v>276</v>
      </c>
      <c r="B83" s="647" t="s">
        <v>277</v>
      </c>
      <c r="C83" s="525"/>
      <c r="D83" s="371"/>
      <c r="E83" s="525"/>
      <c r="F83" s="371"/>
      <c r="G83" s="525"/>
      <c r="H83" s="538"/>
      <c r="I83" s="538"/>
      <c r="J83" s="538"/>
    </row>
    <row r="84" spans="1:10" ht="14.85" customHeight="1">
      <c r="A84" s="535" t="s">
        <v>278</v>
      </c>
      <c r="B84" s="536">
        <f>'Finl Stmts'!I85</f>
        <v>0.13360985980405274</v>
      </c>
      <c r="C84" s="1157"/>
      <c r="D84" s="536">
        <f>'Finl Stmts'!J85</f>
        <v>3.6219336219336218</v>
      </c>
      <c r="E84" s="1157"/>
      <c r="F84" s="371"/>
      <c r="G84" s="545"/>
      <c r="H84" s="999" t="s">
        <v>222</v>
      </c>
      <c r="I84" s="988" t="s">
        <v>279</v>
      </c>
      <c r="J84" s="988" t="s">
        <v>280</v>
      </c>
    </row>
    <row r="85" spans="1:10" ht="14.85" customHeight="1">
      <c r="A85" s="527" t="s">
        <v>281</v>
      </c>
      <c r="B85" s="536">
        <f>'Finl Stmts'!I77</f>
        <v>0.10144177286294898</v>
      </c>
      <c r="C85" s="1061"/>
      <c r="D85" s="536">
        <f>'Finl Stmts'!J77</f>
        <v>10.353132424659247</v>
      </c>
      <c r="E85" s="1061"/>
      <c r="F85" s="371"/>
      <c r="G85" s="545"/>
      <c r="H85" s="989"/>
      <c r="I85" s="989"/>
      <c r="J85" s="989"/>
    </row>
    <row r="86" spans="1:10" ht="14.85" customHeight="1" thickBot="1">
      <c r="A86" s="529"/>
      <c r="B86" s="530"/>
      <c r="C86" s="531"/>
      <c r="D86" s="530"/>
      <c r="E86" s="531"/>
      <c r="F86" s="530"/>
      <c r="G86" s="542"/>
      <c r="H86" s="990"/>
      <c r="I86" s="990"/>
      <c r="J86" s="989"/>
    </row>
    <row r="87" spans="1:10" ht="16.5" customHeight="1" thickBot="1">
      <c r="A87" s="1080" t="s">
        <v>282</v>
      </c>
      <c r="B87" s="1081"/>
      <c r="C87" s="1081"/>
      <c r="D87" s="1081"/>
      <c r="E87" s="1081"/>
      <c r="F87" s="1081"/>
      <c r="G87" s="1081"/>
      <c r="H87" s="1081"/>
      <c r="I87" s="1081"/>
      <c r="J87" s="1082"/>
    </row>
    <row r="88" spans="1:10" ht="15.2" customHeight="1" thickBot="1">
      <c r="A88" s="649"/>
      <c r="B88" s="1103">
        <f>$B$3</f>
        <v>2023</v>
      </c>
      <c r="C88" s="1302"/>
      <c r="D88" s="1155">
        <f>$D$3</f>
        <v>2022</v>
      </c>
      <c r="E88" s="1156"/>
      <c r="F88" s="1155">
        <f>$F$3</f>
        <v>2021</v>
      </c>
      <c r="G88" s="1156"/>
      <c r="H88" s="557"/>
      <c r="I88" s="294"/>
      <c r="J88" s="654"/>
    </row>
    <row r="89" spans="1:10" ht="25.35" customHeight="1">
      <c r="A89" s="991" t="s">
        <v>283</v>
      </c>
      <c r="B89" s="993"/>
      <c r="C89" s="993"/>
      <c r="D89" s="993"/>
      <c r="E89" s="993"/>
      <c r="F89" s="993"/>
      <c r="G89" s="994"/>
      <c r="H89" s="98"/>
      <c r="I89" s="98"/>
      <c r="J89" s="988" t="s">
        <v>284</v>
      </c>
    </row>
    <row r="90" spans="1:10" ht="14.85" customHeight="1">
      <c r="A90" s="533" t="s">
        <v>69</v>
      </c>
      <c r="B90" s="650">
        <f>'Finl Stmts'!B68</f>
        <v>2008625</v>
      </c>
      <c r="C90" s="1313">
        <v>261.61</v>
      </c>
      <c r="D90" s="333">
        <f>'Finl Stmts'!D68</f>
        <v>2090334</v>
      </c>
      <c r="E90" s="1313">
        <f>D90/D91</f>
        <v>255.44836856898448</v>
      </c>
      <c r="F90" s="333">
        <f>'Finl Stmts'!F68</f>
        <v>2057622</v>
      </c>
      <c r="G90" s="1314">
        <f>F90/F91</f>
        <v>241.95931326434618</v>
      </c>
      <c r="H90" s="1198" t="s">
        <v>257</v>
      </c>
      <c r="I90" s="1247" t="s">
        <v>262</v>
      </c>
      <c r="J90" s="1109"/>
    </row>
    <row r="91" spans="1:10" ht="42" customHeight="1">
      <c r="A91" s="541" t="s">
        <v>285</v>
      </c>
      <c r="B91" s="880" t="s">
        <v>286</v>
      </c>
      <c r="C91" s="1268"/>
      <c r="D91" s="292">
        <v>8183</v>
      </c>
      <c r="E91" s="1268"/>
      <c r="F91" s="292">
        <v>8504</v>
      </c>
      <c r="G91" s="1315"/>
      <c r="H91" s="1199"/>
      <c r="I91" s="1199"/>
      <c r="J91" s="1110"/>
    </row>
    <row r="92" spans="1:10" ht="14.25" customHeight="1">
      <c r="A92" s="1143" t="s">
        <v>287</v>
      </c>
      <c r="B92" s="1144"/>
      <c r="C92" s="1144"/>
      <c r="D92" s="1144"/>
      <c r="E92" s="1144"/>
      <c r="F92" s="1144"/>
      <c r="G92" s="1145"/>
      <c r="H92" s="98"/>
      <c r="I92" s="98"/>
      <c r="J92" s="988" t="s">
        <v>288</v>
      </c>
    </row>
    <row r="93" spans="1:10" ht="14.25" customHeight="1">
      <c r="A93" s="507" t="s">
        <v>289</v>
      </c>
      <c r="B93" s="653">
        <f>'Finl Stmts'!I8</f>
        <v>0.1821887351778656</v>
      </c>
      <c r="C93" s="1316">
        <f>B93/B94</f>
        <v>-4.6608734357205268</v>
      </c>
      <c r="D93" s="653">
        <f>'Finl Stmts'!J8</f>
        <v>2.9988004798080767E-2</v>
      </c>
      <c r="E93" s="1316">
        <f>D93/D94</f>
        <v>1.8862796040791312</v>
      </c>
      <c r="F93" s="653"/>
      <c r="G93" s="1317"/>
      <c r="H93" s="999" t="s">
        <v>222</v>
      </c>
      <c r="I93" s="988" t="s">
        <v>290</v>
      </c>
      <c r="J93" s="1130"/>
    </row>
    <row r="94" spans="1:10" ht="13.7" customHeight="1" thickBot="1">
      <c r="A94" s="340" t="s">
        <v>291</v>
      </c>
      <c r="B94" s="521">
        <f>'Finl Stmts'!I68</f>
        <v>-3.9088968557177944E-2</v>
      </c>
      <c r="C94" s="1252"/>
      <c r="D94" s="521">
        <f>'Finl Stmts'!J68</f>
        <v>1.5897963765939518E-2</v>
      </c>
      <c r="E94" s="1252"/>
      <c r="F94" s="521"/>
      <c r="G94" s="1274"/>
      <c r="H94" s="989"/>
      <c r="I94" s="989"/>
      <c r="J94" s="1131"/>
    </row>
    <row r="95" spans="1:10" ht="14.25" customHeight="1" thickBot="1">
      <c r="A95" s="314"/>
      <c r="B95" s="292"/>
      <c r="C95" s="292"/>
      <c r="D95" s="292"/>
      <c r="E95" s="292"/>
      <c r="F95" s="292"/>
      <c r="G95" s="455"/>
      <c r="H95" s="990"/>
      <c r="I95" s="990"/>
      <c r="J95" s="655"/>
    </row>
    <row r="96" spans="1:10" ht="14.85" customHeight="1" thickBot="1">
      <c r="A96" s="1032" t="s">
        <v>292</v>
      </c>
      <c r="B96" s="1033"/>
      <c r="C96" s="1033"/>
      <c r="D96" s="1033"/>
      <c r="E96" s="1033"/>
      <c r="F96" s="1033"/>
      <c r="G96" s="1128"/>
      <c r="H96" s="557"/>
      <c r="I96" s="294"/>
      <c r="J96" s="310"/>
    </row>
    <row r="97" spans="1:10" ht="15.2" customHeight="1">
      <c r="A97" s="651" t="s">
        <v>69</v>
      </c>
      <c r="B97" s="333">
        <f>B90</f>
        <v>2008625</v>
      </c>
      <c r="C97" s="1200">
        <f>B97/B98</f>
        <v>791.73236105636579</v>
      </c>
      <c r="D97" s="333">
        <f>D90</f>
        <v>2090334</v>
      </c>
      <c r="E97" s="1200">
        <f>D97/D98</f>
        <v>821.9952811639796</v>
      </c>
      <c r="F97" s="333">
        <f>F90</f>
        <v>2057622</v>
      </c>
      <c r="G97" s="1202">
        <f>F97/F98</f>
        <v>823.04880000000003</v>
      </c>
      <c r="H97" s="999" t="s">
        <v>222</v>
      </c>
      <c r="I97" s="988" t="s">
        <v>293</v>
      </c>
      <c r="J97" s="988" t="s">
        <v>294</v>
      </c>
    </row>
    <row r="98" spans="1:10" ht="30" customHeight="1" thickTop="1" thickBot="1">
      <c r="A98" s="339" t="s">
        <v>295</v>
      </c>
      <c r="B98" s="6">
        <v>2537</v>
      </c>
      <c r="C98" s="1201"/>
      <c r="D98" s="6">
        <v>2543</v>
      </c>
      <c r="E98" s="1201"/>
      <c r="F98" s="6">
        <v>2500</v>
      </c>
      <c r="G98" s="1203"/>
      <c r="H98" s="990"/>
      <c r="I98" s="990"/>
      <c r="J98" s="1110"/>
    </row>
    <row r="99" spans="1:10" ht="8.1" customHeight="1" thickBot="1">
      <c r="A99" s="314"/>
      <c r="B99" s="292"/>
      <c r="C99" s="292"/>
      <c r="D99" s="292"/>
      <c r="E99" s="292"/>
      <c r="F99" s="292"/>
      <c r="G99" s="292"/>
      <c r="H99" s="294"/>
      <c r="I99" s="294"/>
      <c r="J99" s="654"/>
    </row>
    <row r="100" spans="1:10" ht="16.5" customHeight="1" thickBot="1">
      <c r="A100" s="1080" t="s">
        <v>296</v>
      </c>
      <c r="B100" s="1081"/>
      <c r="C100" s="1081"/>
      <c r="D100" s="1081"/>
      <c r="E100" s="1081"/>
      <c r="F100" s="1081"/>
      <c r="G100" s="1081"/>
      <c r="H100" s="1081"/>
      <c r="I100" s="1081"/>
      <c r="J100" s="1082"/>
    </row>
    <row r="101" spans="1:10" ht="15.2" customHeight="1">
      <c r="A101" s="558" t="s">
        <v>297</v>
      </c>
      <c r="B101" s="1146">
        <f>$B$3</f>
        <v>2023</v>
      </c>
      <c r="C101" s="1318"/>
      <c r="D101" s="1188">
        <f>$D$3</f>
        <v>2022</v>
      </c>
      <c r="E101" s="1189"/>
      <c r="F101" s="1188">
        <f>$F$3</f>
        <v>2021</v>
      </c>
      <c r="G101" s="1189"/>
      <c r="H101" s="289"/>
      <c r="I101" s="289"/>
      <c r="J101" s="1129" t="s">
        <v>298</v>
      </c>
    </row>
    <row r="102" spans="1:10" ht="14.25" customHeight="1">
      <c r="A102" s="208" t="s">
        <v>71</v>
      </c>
      <c r="B102" s="333">
        <f>'Finl Stmts'!B70</f>
        <v>852369</v>
      </c>
      <c r="C102" s="1319">
        <f>B102/B103</f>
        <v>0.42435447134233617</v>
      </c>
      <c r="D102" s="559">
        <f>'Finl Stmts'!D70</f>
        <v>861986</v>
      </c>
      <c r="E102" s="1320">
        <f>D102/D103</f>
        <v>0.41236759293012504</v>
      </c>
      <c r="F102" s="560">
        <f>'Finl Stmts'!F70</f>
        <v>797792</v>
      </c>
      <c r="G102" s="1321">
        <f>F102/F103</f>
        <v>0.38772524788323609</v>
      </c>
      <c r="H102" s="1122" t="s">
        <v>257</v>
      </c>
      <c r="I102" s="1125" t="s">
        <v>299</v>
      </c>
      <c r="J102" s="1303"/>
    </row>
    <row r="103" spans="1:10" ht="14.25" customHeight="1" thickBot="1">
      <c r="A103" s="208" t="s">
        <v>69</v>
      </c>
      <c r="B103" s="21">
        <f>'Finl Stmts'!B68</f>
        <v>2008625</v>
      </c>
      <c r="C103" s="1322"/>
      <c r="D103" s="209">
        <f>'Finl Stmts'!D68</f>
        <v>2090334</v>
      </c>
      <c r="E103" s="1301"/>
      <c r="F103" s="190">
        <f>'Finl Stmts'!F68</f>
        <v>2057622</v>
      </c>
      <c r="G103" s="1323"/>
      <c r="H103" s="1123"/>
      <c r="I103" s="1123"/>
      <c r="J103" s="1303"/>
    </row>
    <row r="104" spans="1:10" ht="14.85" customHeight="1" thickBot="1">
      <c r="A104" s="616"/>
      <c r="B104" s="292"/>
      <c r="C104" s="604"/>
      <c r="D104" s="320"/>
      <c r="E104" s="617"/>
      <c r="F104" s="309"/>
      <c r="G104" s="296"/>
      <c r="H104" s="1124"/>
      <c r="I104" s="1124"/>
      <c r="J104" s="1304"/>
    </row>
    <row r="105" spans="1:10" ht="14.85" customHeight="1" thickBot="1">
      <c r="A105" s="1119" t="s">
        <v>300</v>
      </c>
      <c r="B105" s="1120"/>
      <c r="C105" s="1120"/>
      <c r="D105" s="1120"/>
      <c r="E105" s="1120"/>
      <c r="F105" s="1120"/>
      <c r="G105" s="1121"/>
      <c r="H105" s="299"/>
      <c r="I105" s="656"/>
      <c r="J105" s="188"/>
    </row>
    <row r="106" spans="1:10" ht="14.25" customHeight="1">
      <c r="A106" s="621" t="s">
        <v>301</v>
      </c>
      <c r="B106" s="333">
        <f>'Finl Stmts'!B77</f>
        <v>100001</v>
      </c>
      <c r="C106" s="1319">
        <f>B106/B107</f>
        <v>4.9785798742921154E-2</v>
      </c>
      <c r="D106" s="560">
        <f>'Finl Stmts'!D77</f>
        <v>90791</v>
      </c>
      <c r="E106" s="1324">
        <f>D106/D107</f>
        <v>4.3433728772531086E-2</v>
      </c>
      <c r="F106" s="559">
        <f>'Finl Stmts'!F77</f>
        <v>7997</v>
      </c>
      <c r="G106" s="1325">
        <f>F106/F107</f>
        <v>3.8865253190333306E-3</v>
      </c>
      <c r="H106" s="999" t="s">
        <v>257</v>
      </c>
      <c r="I106" s="988" t="s">
        <v>299</v>
      </c>
      <c r="J106" s="1073" t="s">
        <v>302</v>
      </c>
    </row>
    <row r="107" spans="1:10" ht="14.25" customHeight="1" thickBot="1">
      <c r="A107" s="208" t="s">
        <v>69</v>
      </c>
      <c r="B107" s="21">
        <f>'Finl Stmts'!B68</f>
        <v>2008625</v>
      </c>
      <c r="C107" s="1322"/>
      <c r="D107" s="190">
        <f>'Finl Stmts'!D68</f>
        <v>2090334</v>
      </c>
      <c r="E107" s="1299"/>
      <c r="F107" s="209">
        <f>'Finl Stmts'!F68</f>
        <v>2057622</v>
      </c>
      <c r="G107" s="1326"/>
      <c r="H107" s="989"/>
      <c r="I107" s="989"/>
      <c r="J107" s="1303"/>
    </row>
    <row r="108" spans="1:10" ht="14.85" customHeight="1" thickBot="1">
      <c r="A108" s="616"/>
      <c r="B108" s="292"/>
      <c r="C108" s="604"/>
      <c r="D108" s="320"/>
      <c r="E108" s="617"/>
      <c r="F108" s="309"/>
      <c r="G108" s="296"/>
      <c r="H108" s="990"/>
      <c r="I108" s="990"/>
      <c r="J108" s="1304"/>
    </row>
    <row r="109" spans="1:10" ht="14.85" customHeight="1" thickBot="1">
      <c r="A109" s="618" t="s">
        <v>303</v>
      </c>
      <c r="B109" s="619"/>
      <c r="C109" s="619"/>
      <c r="D109" s="619"/>
      <c r="E109" s="619"/>
      <c r="F109" s="619"/>
      <c r="G109" s="620"/>
      <c r="H109" s="299"/>
      <c r="I109" s="656"/>
      <c r="J109" s="188"/>
    </row>
    <row r="110" spans="1:10" ht="14.25" customHeight="1">
      <c r="A110" s="507" t="s">
        <v>304</v>
      </c>
      <c r="B110" s="341">
        <f>'Finl Stmts'!B85</f>
        <v>76250</v>
      </c>
      <c r="C110" s="1056">
        <f>B110/B111</f>
        <v>3.7961291928558093E-2</v>
      </c>
      <c r="D110" s="614">
        <f>'Finl Stmts'!D85</f>
        <v>67263</v>
      </c>
      <c r="E110" s="1058">
        <f>D110/D111</f>
        <v>3.2178111249207067E-2</v>
      </c>
      <c r="F110" s="508">
        <f>'Finl Stmts'!F85</f>
        <v>14553</v>
      </c>
      <c r="G110" s="1153">
        <f>F110/F111</f>
        <v>7.0727276438529527E-3</v>
      </c>
      <c r="H110" s="1174" t="s">
        <v>257</v>
      </c>
      <c r="I110" s="1176" t="s">
        <v>299</v>
      </c>
      <c r="J110" s="1118" t="s">
        <v>305</v>
      </c>
    </row>
    <row r="111" spans="1:10" ht="13.7" customHeight="1">
      <c r="A111" s="55" t="s">
        <v>69</v>
      </c>
      <c r="B111" s="20">
        <f>'Finl Stmts'!B68</f>
        <v>2008625</v>
      </c>
      <c r="C111" s="1057"/>
      <c r="D111" s="210">
        <f>'Finl Stmts'!D68</f>
        <v>2090334</v>
      </c>
      <c r="E111" s="1059"/>
      <c r="F111" s="181">
        <f>'Finl Stmts'!F68</f>
        <v>2057622</v>
      </c>
      <c r="G111" s="1154"/>
      <c r="H111" s="1177"/>
      <c r="I111" s="1177"/>
      <c r="J111" s="1303"/>
    </row>
    <row r="112" spans="1:10" ht="14.25" customHeight="1" thickBot="1">
      <c r="A112" s="314"/>
      <c r="B112" s="292"/>
      <c r="C112" s="604"/>
      <c r="D112" s="297"/>
      <c r="E112" s="605"/>
      <c r="F112" s="511"/>
      <c r="G112" s="657"/>
      <c r="H112" s="1175"/>
      <c r="I112" s="1175"/>
      <c r="J112" s="1304"/>
    </row>
    <row r="113" spans="1:10" ht="14.85" customHeight="1" thickBot="1">
      <c r="A113" s="612" t="s">
        <v>306</v>
      </c>
      <c r="B113" s="607"/>
      <c r="C113" s="608"/>
      <c r="D113" s="609"/>
      <c r="E113" s="610"/>
      <c r="F113" s="522"/>
      <c r="G113" s="611"/>
      <c r="H113" s="298"/>
      <c r="I113" s="298"/>
      <c r="J113" s="211"/>
    </row>
    <row r="114" spans="1:10" ht="14.25" customHeight="1">
      <c r="A114" s="606" t="s">
        <v>307</v>
      </c>
      <c r="B114" s="333">
        <f>'Finl Stmts'!B77</f>
        <v>100001</v>
      </c>
      <c r="C114" s="1327">
        <f>B114/B115</f>
        <v>6.9931111550895708E-2</v>
      </c>
      <c r="D114" s="333">
        <f>'Finl Stmts'!D77</f>
        <v>90791</v>
      </c>
      <c r="E114" s="1327">
        <f>D114/D115</f>
        <v>6.3902537562298828E-2</v>
      </c>
      <c r="F114" s="333">
        <f>'Finl Stmts'!F77</f>
        <v>7997</v>
      </c>
      <c r="G114" s="1321">
        <f>F114/F115</f>
        <v>5.7665793663613076E-3</v>
      </c>
      <c r="H114" s="1122" t="s">
        <v>257</v>
      </c>
      <c r="I114" s="1125" t="s">
        <v>308</v>
      </c>
      <c r="J114" s="1204" t="s">
        <v>309</v>
      </c>
    </row>
    <row r="115" spans="1:10" ht="13.7" customHeight="1" thickBot="1">
      <c r="A115" s="212" t="s">
        <v>266</v>
      </c>
      <c r="B115" s="21">
        <f>'Finl Stmts'!B20</f>
        <v>1429993</v>
      </c>
      <c r="C115" s="1252"/>
      <c r="D115" s="21">
        <f>'Finl Stmts'!D20</f>
        <v>1420773</v>
      </c>
      <c r="E115" s="1252"/>
      <c r="F115" s="21">
        <f>'Finl Stmts'!F20</f>
        <v>1386784</v>
      </c>
      <c r="G115" s="1274"/>
      <c r="H115" s="1123"/>
      <c r="I115" s="1123"/>
      <c r="J115" s="1328"/>
    </row>
    <row r="116" spans="1:10" ht="14.25" customHeight="1" thickBot="1">
      <c r="A116" s="613"/>
      <c r="B116" s="292"/>
      <c r="C116" s="604"/>
      <c r="D116" s="297"/>
      <c r="E116" s="605"/>
      <c r="F116" s="511"/>
      <c r="G116" s="657"/>
      <c r="H116" s="1124"/>
      <c r="I116" s="1124"/>
      <c r="J116" s="1328"/>
    </row>
    <row r="117" spans="1:10" ht="14.25" customHeight="1">
      <c r="A117" s="1034" t="s">
        <v>310</v>
      </c>
      <c r="B117" s="1035"/>
      <c r="C117" s="1035"/>
      <c r="D117" s="1035"/>
      <c r="E117" s="1035"/>
      <c r="F117" s="1035"/>
      <c r="G117" s="1036"/>
      <c r="H117" s="298"/>
      <c r="I117" s="298"/>
      <c r="J117" s="1148" t="s">
        <v>311</v>
      </c>
    </row>
    <row r="118" spans="1:10" ht="13.7" customHeight="1">
      <c r="A118" s="507" t="s">
        <v>312</v>
      </c>
      <c r="B118" s="341">
        <f>'Finl Stmts'!B85</f>
        <v>76250</v>
      </c>
      <c r="C118" s="1056">
        <f>B118/B119</f>
        <v>5.3494394138277224E-2</v>
      </c>
      <c r="D118" s="614">
        <f>'Finl Stmts'!D85</f>
        <v>67263</v>
      </c>
      <c r="E118" s="1058">
        <f>D118/D119</f>
        <v>4.7915679004914238E-2</v>
      </c>
      <c r="F118" s="508">
        <f>'Finl Stmts'!F85</f>
        <v>14553</v>
      </c>
      <c r="G118" s="1153">
        <f>F118/F119</f>
        <v>1.0494063963818447E-2</v>
      </c>
      <c r="H118" s="1174" t="s">
        <v>257</v>
      </c>
      <c r="I118" s="1176" t="s">
        <v>313</v>
      </c>
      <c r="J118" s="1303"/>
    </row>
    <row r="119" spans="1:10" ht="13.7" customHeight="1">
      <c r="A119" s="55" t="s">
        <v>314</v>
      </c>
      <c r="B119" s="20">
        <f>('Finl Stmts'!B20+'Finl Stmts'!D20)/2</f>
        <v>1425383</v>
      </c>
      <c r="C119" s="1057"/>
      <c r="D119" s="210">
        <f>('Finl Stmts'!D20+'Finl Stmts'!F20)/2</f>
        <v>1403778.5</v>
      </c>
      <c r="E119" s="1059"/>
      <c r="F119" s="181">
        <f>('Finl Stmts'!F20)</f>
        <v>1386784</v>
      </c>
      <c r="G119" s="1154"/>
      <c r="H119" s="1177"/>
      <c r="I119" s="1177"/>
      <c r="J119" s="1303"/>
    </row>
    <row r="120" spans="1:10" ht="14.25" customHeight="1" thickBot="1">
      <c r="A120" s="314"/>
      <c r="B120" s="305"/>
      <c r="C120" s="604"/>
      <c r="D120" s="615"/>
      <c r="E120" s="605"/>
      <c r="F120" s="520"/>
      <c r="G120" s="657"/>
      <c r="H120" s="1175"/>
      <c r="I120" s="1175"/>
      <c r="J120" s="1304"/>
    </row>
    <row r="121" spans="1:10" ht="14.85" customHeight="1" thickBot="1">
      <c r="A121" s="1034" t="s">
        <v>315</v>
      </c>
      <c r="B121" s="1035"/>
      <c r="C121" s="1035"/>
      <c r="D121" s="1035"/>
      <c r="E121" s="1035"/>
      <c r="F121" s="1035"/>
      <c r="G121" s="1036"/>
      <c r="H121" s="298"/>
      <c r="I121" s="298"/>
      <c r="J121" s="211"/>
    </row>
    <row r="122" spans="1:10" ht="14.25" customHeight="1">
      <c r="A122" s="507" t="s">
        <v>316</v>
      </c>
      <c r="B122" s="341">
        <f>'Finl Stmts'!B85-'Finl Stmts'!B146</f>
        <v>76250</v>
      </c>
      <c r="C122" s="1178">
        <f>B122/B123</f>
        <v>7.1046616829988474E-2</v>
      </c>
      <c r="D122" s="341">
        <f>'Finl Stmts'!D85-'Finl Stmts'!D146</f>
        <v>67263</v>
      </c>
      <c r="E122" s="1056">
        <f>D122/D123</f>
        <v>6.555982139985321E-2</v>
      </c>
      <c r="F122" s="508">
        <f>'Finl Stmts'!F85-'Finl Stmts'!F146</f>
        <v>14553</v>
      </c>
      <c r="G122" s="1153">
        <f>F122/F123</f>
        <v>1.4798522283200581E-2</v>
      </c>
      <c r="H122" s="1174" t="s">
        <v>257</v>
      </c>
      <c r="I122" s="1176" t="s">
        <v>317</v>
      </c>
      <c r="J122" s="1073" t="s">
        <v>318</v>
      </c>
    </row>
    <row r="123" spans="1:10" ht="30.95" customHeight="1" thickBot="1">
      <c r="A123" s="340" t="s">
        <v>319</v>
      </c>
      <c r="B123" s="85">
        <f>('Finl Stmts'!B44+'Finl Stmts'!D44)/2</f>
        <v>1073239</v>
      </c>
      <c r="C123" s="1057"/>
      <c r="D123" s="213">
        <f>('Finl Stmts'!D44+'Finl Stmts'!F44)/2</f>
        <v>1025979</v>
      </c>
      <c r="E123" s="1181"/>
      <c r="F123" s="214">
        <f>('Finl Stmts'!F44)</f>
        <v>983409</v>
      </c>
      <c r="G123" s="1182"/>
      <c r="H123" s="1175"/>
      <c r="I123" s="1175"/>
      <c r="J123" s="1303"/>
    </row>
    <row r="124" spans="1:10" ht="14.85" customHeight="1" thickBot="1">
      <c r="A124" s="314"/>
      <c r="B124" s="317"/>
      <c r="C124" s="600"/>
      <c r="D124" s="601"/>
      <c r="E124" s="602"/>
      <c r="F124" s="318"/>
      <c r="G124" s="603"/>
      <c r="H124" s="300"/>
      <c r="I124" s="300"/>
      <c r="J124" s="1291"/>
    </row>
    <row r="125" spans="1:10" ht="14.85" customHeight="1">
      <c r="A125" s="1186" t="s">
        <v>320</v>
      </c>
      <c r="B125" s="1187"/>
      <c r="C125" s="1187"/>
      <c r="D125" s="1187"/>
      <c r="E125" s="1187"/>
      <c r="F125" s="1187"/>
      <c r="G125" s="1187"/>
      <c r="H125" s="1174" t="s">
        <v>257</v>
      </c>
      <c r="I125" s="1176" t="s">
        <v>321</v>
      </c>
      <c r="J125" s="988" t="s">
        <v>322</v>
      </c>
    </row>
    <row r="126" spans="1:10" ht="14.25" customHeight="1">
      <c r="A126" s="507" t="s">
        <v>323</v>
      </c>
      <c r="B126" s="341">
        <f>'Add''l Calc'!C10</f>
        <v>74000.740000000005</v>
      </c>
      <c r="C126" s="1056">
        <f>B126/B127</f>
        <v>6.5883673743748913E-2</v>
      </c>
      <c r="D126" s="508">
        <f>'Add''l Calc'!E10</f>
        <v>67185.34</v>
      </c>
      <c r="E126" s="1167">
        <f>D126/D127</f>
        <v>5.9843233522373515E-2</v>
      </c>
      <c r="F126" s="508">
        <f>'Add''l Calc'!G10</f>
        <v>5917.78</v>
      </c>
      <c r="G126" s="1168">
        <f>F126/F127</f>
        <v>5.6635326904598748E-3</v>
      </c>
      <c r="H126" s="1177"/>
      <c r="I126" s="1177"/>
      <c r="J126" s="1109"/>
    </row>
    <row r="127" spans="1:10" ht="24.75" customHeight="1" thickBot="1">
      <c r="A127" s="674" t="s">
        <v>324</v>
      </c>
      <c r="B127" s="85">
        <f>B62</f>
        <v>1123203</v>
      </c>
      <c r="C127" s="1322"/>
      <c r="D127" s="214">
        <f>D62</f>
        <v>1122689</v>
      </c>
      <c r="E127" s="1322"/>
      <c r="F127" s="214">
        <f>F62</f>
        <v>1044892</v>
      </c>
      <c r="G127" s="1274"/>
      <c r="H127" s="1175"/>
      <c r="I127" s="1175"/>
      <c r="J127" s="1109"/>
    </row>
    <row r="128" spans="1:10" ht="11.1" customHeight="1" thickBot="1">
      <c r="A128" s="304"/>
      <c r="B128" s="317"/>
      <c r="C128" s="510"/>
      <c r="D128" s="539"/>
      <c r="E128" s="290"/>
      <c r="F128" s="318"/>
      <c r="G128" s="510"/>
      <c r="H128" s="289"/>
      <c r="I128" s="98"/>
      <c r="J128" s="1110"/>
    </row>
    <row r="129" spans="1:10" ht="32.1" customHeight="1">
      <c r="A129" s="1003" t="s">
        <v>325</v>
      </c>
      <c r="B129" s="1005"/>
      <c r="C129" s="1005"/>
      <c r="D129" s="1005"/>
      <c r="E129" s="1005"/>
      <c r="F129" s="1005"/>
      <c r="G129" s="1005"/>
      <c r="H129" s="1005"/>
      <c r="I129" s="1006"/>
      <c r="J129" s="988" t="s">
        <v>326</v>
      </c>
    </row>
    <row r="130" spans="1:10" ht="24.75" customHeight="1">
      <c r="A130" s="599" t="s">
        <v>327</v>
      </c>
      <c r="B130" s="334">
        <f>'Finl Stmts'!B114+'Finl Stmts'!B118</f>
        <v>201064</v>
      </c>
      <c r="C130" s="1052">
        <f>B130/B131</f>
        <v>0.10010031738129317</v>
      </c>
      <c r="D130" s="334">
        <f>'Finl Stmts'!D114+'Finl Stmts'!D118</f>
        <v>109363</v>
      </c>
      <c r="E130" s="1054">
        <f>D130/D131</f>
        <v>5.2318433322138952E-2</v>
      </c>
      <c r="F130" s="334">
        <f>'Finl Stmts'!F114+'Finl Stmts'!F118</f>
        <v>-91622</v>
      </c>
      <c r="G130" s="1184">
        <f>F130/F131</f>
        <v>-4.4528100885390998E-2</v>
      </c>
      <c r="H130" s="999" t="s">
        <v>257</v>
      </c>
      <c r="I130" s="988" t="s">
        <v>328</v>
      </c>
      <c r="J130" s="989"/>
    </row>
    <row r="131" spans="1:10" ht="18.95" customHeight="1">
      <c r="A131" s="541" t="s">
        <v>69</v>
      </c>
      <c r="B131" s="317">
        <f>'Finl Stmts'!B68</f>
        <v>2008625</v>
      </c>
      <c r="C131" s="1053"/>
      <c r="D131" s="317">
        <f>'Finl Stmts'!D68</f>
        <v>2090334</v>
      </c>
      <c r="E131" s="1055"/>
      <c r="F131" s="317">
        <f>'Finl Stmts'!F68</f>
        <v>2057622</v>
      </c>
      <c r="G131" s="1185"/>
      <c r="H131" s="989"/>
      <c r="I131" s="989"/>
      <c r="J131" s="989"/>
    </row>
    <row r="132" spans="1:10" ht="9" customHeight="1" thickBot="1">
      <c r="A132" s="1050"/>
      <c r="B132" s="1050"/>
      <c r="C132" s="1050"/>
      <c r="D132" s="1050"/>
      <c r="E132" s="1050"/>
      <c r="F132" s="1050"/>
      <c r="G132" s="1051"/>
      <c r="H132" s="990"/>
      <c r="I132" s="990"/>
      <c r="J132" s="990"/>
    </row>
    <row r="133" spans="1:10" ht="16.5" customHeight="1" thickBot="1">
      <c r="A133" s="1089" t="s">
        <v>329</v>
      </c>
      <c r="B133" s="1090"/>
      <c r="C133" s="1090"/>
      <c r="D133" s="1090"/>
      <c r="E133" s="1090"/>
      <c r="F133" s="1090"/>
      <c r="G133" s="1090"/>
      <c r="H133" s="1081"/>
      <c r="I133" s="1081"/>
      <c r="J133" s="1082"/>
    </row>
    <row r="134" spans="1:10" ht="15" customHeight="1" thickBot="1">
      <c r="A134" s="526"/>
      <c r="B134" s="1152">
        <f>B59</f>
        <v>2023</v>
      </c>
      <c r="C134" s="1329"/>
      <c r="D134" s="1152">
        <f>D59</f>
        <v>2022</v>
      </c>
      <c r="E134" s="1329"/>
      <c r="F134" s="1152">
        <f>F59</f>
        <v>2021</v>
      </c>
      <c r="G134" s="1329"/>
      <c r="H134" s="98"/>
      <c r="I134" s="98"/>
      <c r="J134" s="658"/>
    </row>
    <row r="135" spans="1:10" ht="24" customHeight="1" thickBot="1">
      <c r="A135" s="652" t="s">
        <v>330</v>
      </c>
      <c r="B135" s="1161" t="s">
        <v>331</v>
      </c>
      <c r="C135" s="1162"/>
      <c r="D135" s="1163"/>
      <c r="E135" s="1162"/>
      <c r="F135" s="1163"/>
      <c r="G135" s="1162"/>
      <c r="H135" s="1164"/>
      <c r="I135" s="1164"/>
      <c r="J135" s="1165"/>
    </row>
    <row r="136" spans="1:10" ht="15" customHeight="1">
      <c r="A136" s="507" t="s">
        <v>332</v>
      </c>
      <c r="B136" s="659">
        <f>'Finl Stmts'!B149</f>
        <v>241.54</v>
      </c>
      <c r="C136" s="1158">
        <f>B136/B137</f>
        <v>38.782612721311473</v>
      </c>
      <c r="D136" s="660">
        <f>'Finl Stmts'!D149</f>
        <v>420.83</v>
      </c>
      <c r="E136" s="1158">
        <f>D136/D137</f>
        <v>77.061134799220966</v>
      </c>
      <c r="F136" s="660">
        <f>'Finl Stmts'!F149</f>
        <v>505.1</v>
      </c>
      <c r="G136" s="1159">
        <f>F136/F137</f>
        <v>426.20957878100739</v>
      </c>
      <c r="H136" s="984" t="s">
        <v>222</v>
      </c>
      <c r="I136" s="1001" t="s">
        <v>247</v>
      </c>
      <c r="J136" s="1166" t="s">
        <v>333</v>
      </c>
    </row>
    <row r="137" spans="1:10" ht="15" customHeight="1">
      <c r="A137" s="340" t="s">
        <v>334</v>
      </c>
      <c r="B137" s="207">
        <f>'Finl Stmts'!B145</f>
        <v>6.22804868087887</v>
      </c>
      <c r="C137" s="1112"/>
      <c r="D137" s="215">
        <f>'Finl Stmts'!D145</f>
        <v>5.4609888771616468</v>
      </c>
      <c r="E137" s="1112"/>
      <c r="F137" s="215">
        <f>'Finl Stmts'!F145</f>
        <v>1.1850977198697068</v>
      </c>
      <c r="G137" s="1160"/>
      <c r="H137" s="1000"/>
      <c r="I137" s="1000"/>
      <c r="J137" s="1303"/>
    </row>
    <row r="138" spans="1:10" ht="15" customHeight="1" thickBot="1">
      <c r="A138" s="314"/>
      <c r="B138" s="292"/>
      <c r="C138" s="664"/>
      <c r="D138" s="511"/>
      <c r="E138" s="664"/>
      <c r="F138" s="511"/>
      <c r="G138" s="665"/>
      <c r="H138" s="985"/>
      <c r="I138" s="985"/>
      <c r="J138" s="1304"/>
    </row>
    <row r="139" spans="1:10" ht="15" customHeight="1" thickBot="1">
      <c r="A139" s="1045" t="s">
        <v>335</v>
      </c>
      <c r="B139" s="1046"/>
      <c r="C139" s="1046"/>
      <c r="D139" s="1046"/>
      <c r="E139" s="1046"/>
      <c r="F139" s="1046"/>
      <c r="G139" s="1047"/>
      <c r="H139" s="662"/>
      <c r="I139" s="661"/>
      <c r="J139" s="188"/>
    </row>
    <row r="140" spans="1:10" ht="14.85" customHeight="1">
      <c r="A140" s="666" t="s">
        <v>332</v>
      </c>
      <c r="B140" s="667">
        <f>'Finl Stmts'!B149</f>
        <v>241.54</v>
      </c>
      <c r="C140" s="1179">
        <f>B140/B141</f>
        <v>2.7433849724796344</v>
      </c>
      <c r="D140" s="660">
        <f>'Finl Stmts'!D149</f>
        <v>420.83</v>
      </c>
      <c r="E140" s="1179">
        <f>D140/D141</f>
        <v>4.8508426941581533</v>
      </c>
      <c r="F140" s="660">
        <f>'Finl Stmts'!F149</f>
        <v>505.1</v>
      </c>
      <c r="G140" s="1048">
        <f>F140/F141</f>
        <v>6.3072719489042708</v>
      </c>
      <c r="H140" s="1169" t="s">
        <v>222</v>
      </c>
      <c r="I140" s="1248" t="s">
        <v>247</v>
      </c>
      <c r="J140" s="1118" t="s">
        <v>336</v>
      </c>
    </row>
    <row r="141" spans="1:10" ht="14.25" customHeight="1">
      <c r="A141" s="671" t="s">
        <v>337</v>
      </c>
      <c r="B141" s="216">
        <f>C144</f>
        <v>88.044515233194474</v>
      </c>
      <c r="C141" s="1180"/>
      <c r="D141" s="216">
        <f>E144</f>
        <v>86.753998538605174</v>
      </c>
      <c r="E141" s="1183"/>
      <c r="F141" s="217">
        <f>G144</f>
        <v>80.082166123778507</v>
      </c>
      <c r="G141" s="1049"/>
      <c r="H141" s="1170"/>
      <c r="I141" s="1172"/>
      <c r="J141" s="1303"/>
    </row>
    <row r="142" spans="1:10" ht="15" customHeight="1" thickBot="1">
      <c r="A142" s="314"/>
      <c r="B142" s="292"/>
      <c r="C142" s="664"/>
      <c r="D142" s="511"/>
      <c r="E142" s="664"/>
      <c r="F142" s="511"/>
      <c r="G142" s="665"/>
      <c r="H142" s="1171"/>
      <c r="I142" s="1173"/>
      <c r="J142" s="1304"/>
    </row>
    <row r="143" spans="1:10" ht="14.85" customHeight="1" thickBot="1">
      <c r="A143" s="1045" t="s">
        <v>338</v>
      </c>
      <c r="B143" s="1046"/>
      <c r="C143" s="1046"/>
      <c r="D143" s="1046"/>
      <c r="E143" s="1046"/>
      <c r="F143" s="1046"/>
      <c r="G143" s="1047"/>
      <c r="H143" s="661"/>
      <c r="I143" s="301"/>
      <c r="J143" s="188"/>
    </row>
    <row r="144" spans="1:10" ht="15" customHeight="1">
      <c r="A144" s="507" t="s">
        <v>339</v>
      </c>
      <c r="B144" s="668">
        <f>'Finl Stmts'!B44</f>
        <v>1077929</v>
      </c>
      <c r="C144" s="1017">
        <f>B144/B145</f>
        <v>88.044515233194474</v>
      </c>
      <c r="D144" s="669">
        <f>'Finl Stmts'!D44</f>
        <v>1068549</v>
      </c>
      <c r="E144" s="1017">
        <f>D144/D145</f>
        <v>86.753998538605174</v>
      </c>
      <c r="F144" s="669">
        <f>'Finl Stmts'!F44</f>
        <v>983409</v>
      </c>
      <c r="G144" s="1023">
        <f>F144/F145</f>
        <v>80.082166123778507</v>
      </c>
      <c r="H144" s="995" t="s">
        <v>257</v>
      </c>
      <c r="I144" s="998" t="s">
        <v>340</v>
      </c>
      <c r="J144" s="1118" t="s">
        <v>341</v>
      </c>
    </row>
    <row r="145" spans="1:10" ht="24.75" customHeight="1">
      <c r="A145" s="55" t="s">
        <v>342</v>
      </c>
      <c r="B145" s="218">
        <f>'Finl Stmts'!B150</f>
        <v>12243</v>
      </c>
      <c r="C145" s="1018"/>
      <c r="D145" s="219">
        <f>'Finl Stmts'!D150</f>
        <v>12317</v>
      </c>
      <c r="E145" s="1018"/>
      <c r="F145" s="219">
        <f>'Finl Stmts'!F150</f>
        <v>12280</v>
      </c>
      <c r="G145" s="1024"/>
      <c r="H145" s="996"/>
      <c r="I145" s="996"/>
      <c r="J145" s="1303"/>
    </row>
    <row r="146" spans="1:10" ht="15" customHeight="1" thickBot="1">
      <c r="A146" s="314"/>
      <c r="B146" s="292"/>
      <c r="C146" s="510"/>
      <c r="D146" s="511"/>
      <c r="E146" s="510"/>
      <c r="F146" s="511"/>
      <c r="G146" s="665"/>
      <c r="H146" s="997"/>
      <c r="I146" s="997"/>
      <c r="J146" s="1307"/>
    </row>
    <row r="147" spans="1:10" ht="15" customHeight="1">
      <c r="A147" s="991" t="s">
        <v>343</v>
      </c>
      <c r="B147" s="993"/>
      <c r="C147" s="993"/>
      <c r="D147" s="993"/>
      <c r="E147" s="993"/>
      <c r="F147" s="993"/>
      <c r="G147" s="994"/>
      <c r="H147" s="999" t="s">
        <v>257</v>
      </c>
      <c r="I147" s="988" t="s">
        <v>262</v>
      </c>
      <c r="J147" s="523"/>
    </row>
    <row r="148" spans="1:10" ht="38.25" customHeight="1">
      <c r="A148" s="507" t="s">
        <v>344</v>
      </c>
      <c r="B148" s="341">
        <f>'Finl Stmts'!B20</f>
        <v>1429993</v>
      </c>
      <c r="C148" s="1019">
        <f>B148/B149</f>
        <v>1.3266114929647499</v>
      </c>
      <c r="D148" s="508">
        <f>'Finl Stmts'!D20</f>
        <v>1420773</v>
      </c>
      <c r="E148" s="1019">
        <f>D148/D149</f>
        <v>1.3296283090433849</v>
      </c>
      <c r="F148" s="508">
        <f>'Finl Stmts'!F20</f>
        <v>1386784</v>
      </c>
      <c r="G148" s="1021">
        <f>F148/F149</f>
        <v>1.4101803013801988</v>
      </c>
      <c r="H148" s="989"/>
      <c r="I148" s="989"/>
      <c r="J148" s="663" t="s">
        <v>345</v>
      </c>
    </row>
    <row r="149" spans="1:10" ht="15" customHeight="1" thickBot="1">
      <c r="A149" s="304" t="s">
        <v>346</v>
      </c>
      <c r="B149" s="317">
        <f>'Finl Stmts'!B44</f>
        <v>1077929</v>
      </c>
      <c r="C149" s="1020"/>
      <c r="D149" s="318">
        <f>'Finl Stmts'!D44</f>
        <v>1068549</v>
      </c>
      <c r="E149" s="1020"/>
      <c r="F149" s="318">
        <f>'Finl Stmts'!F44</f>
        <v>983409</v>
      </c>
      <c r="G149" s="1022"/>
      <c r="H149" s="990"/>
      <c r="I149" s="990"/>
      <c r="J149" s="561"/>
    </row>
    <row r="150" spans="1:10" ht="15" customHeight="1" thickBot="1">
      <c r="A150" s="991" t="s">
        <v>347</v>
      </c>
      <c r="B150" s="993"/>
      <c r="C150" s="992"/>
      <c r="D150" s="993"/>
      <c r="E150" s="992"/>
      <c r="F150" s="993"/>
      <c r="G150" s="1014"/>
      <c r="H150" s="670"/>
      <c r="I150" s="596"/>
      <c r="J150" s="294"/>
    </row>
    <row r="151" spans="1:10" ht="15" customHeight="1">
      <c r="A151" s="598" t="s">
        <v>332</v>
      </c>
      <c r="B151" s="678">
        <f>'Finl Stmts'!B149</f>
        <v>241.54</v>
      </c>
      <c r="C151" s="1007">
        <f>B151/B152</f>
        <v>1.4722380832659157</v>
      </c>
      <c r="D151" s="679">
        <f>'Finl Stmts'!D149</f>
        <v>420.83</v>
      </c>
      <c r="E151" s="1007">
        <f>D151/D152</f>
        <v>2.4796817685594741</v>
      </c>
      <c r="F151" s="679">
        <f>'Finl Stmts'!F149</f>
        <v>505.1</v>
      </c>
      <c r="G151" s="1025">
        <f>F151/F152</f>
        <v>3.0144642699193538</v>
      </c>
      <c r="H151" s="984" t="s">
        <v>222</v>
      </c>
      <c r="I151" s="1001" t="s">
        <v>348</v>
      </c>
      <c r="J151" s="988" t="s">
        <v>349</v>
      </c>
    </row>
    <row r="152" spans="1:10" ht="15" customHeight="1">
      <c r="A152" s="680" t="s">
        <v>350</v>
      </c>
      <c r="B152" s="681">
        <f>'Finl Stmts'!B68/'Finl Stmts'!B150</f>
        <v>164.06313811974189</v>
      </c>
      <c r="C152" s="1007"/>
      <c r="D152" s="371">
        <f>'Finl Stmts'!D68/'Finl Stmts'!D150</f>
        <v>169.71129333441584</v>
      </c>
      <c r="E152" s="1007"/>
      <c r="F152" s="371">
        <f>'Finl Stmts'!F68/'Finl Stmts'!F150</f>
        <v>167.55879478827362</v>
      </c>
      <c r="G152" s="1025"/>
      <c r="H152" s="1000"/>
      <c r="I152" s="1000"/>
      <c r="J152" s="989"/>
    </row>
    <row r="153" spans="1:10" ht="15" customHeight="1" thickBot="1">
      <c r="A153" s="680"/>
      <c r="B153" s="371"/>
      <c r="C153" s="1007"/>
      <c r="D153" s="371"/>
      <c r="E153" s="1007"/>
      <c r="F153" s="371"/>
      <c r="G153" s="1025"/>
      <c r="H153" s="985"/>
      <c r="I153" s="985"/>
      <c r="J153" s="990"/>
    </row>
    <row r="154" spans="1:10" ht="15" customHeight="1" thickBot="1">
      <c r="A154" s="991" t="s">
        <v>351</v>
      </c>
      <c r="B154" s="1015"/>
      <c r="C154" s="1015"/>
      <c r="D154" s="1015"/>
      <c r="E154" s="1015"/>
      <c r="F154" s="1015"/>
      <c r="G154" s="1016"/>
      <c r="H154" s="670"/>
      <c r="I154" s="596"/>
      <c r="J154" s="294"/>
    </row>
    <row r="155" spans="1:10" ht="15" customHeight="1">
      <c r="A155" s="682" t="s">
        <v>352</v>
      </c>
      <c r="B155" s="371">
        <f>'Finl Stmts'!B145</f>
        <v>6.22804868087887</v>
      </c>
      <c r="C155" s="1008">
        <f>B155/B156</f>
        <v>2.578475068675528E-2</v>
      </c>
      <c r="D155" s="371">
        <f>'Finl Stmts'!D145</f>
        <v>5.4609888771616468</v>
      </c>
      <c r="E155" s="1010">
        <f>D155/D156</f>
        <v>1.297671001868129E-2</v>
      </c>
      <c r="F155" s="371">
        <f>'Finl Stmts'!F145</f>
        <v>1.1850977198697068</v>
      </c>
      <c r="G155" s="1012">
        <f>F155/F156</f>
        <v>2.3462635515139711E-3</v>
      </c>
      <c r="H155" s="984" t="s">
        <v>257</v>
      </c>
      <c r="I155" s="1001" t="s">
        <v>353</v>
      </c>
      <c r="J155" s="988" t="s">
        <v>354</v>
      </c>
    </row>
    <row r="156" spans="1:10" ht="15" customHeight="1">
      <c r="A156" s="680" t="s">
        <v>332</v>
      </c>
      <c r="B156" s="371">
        <f>'Finl Stmts'!B149</f>
        <v>241.54</v>
      </c>
      <c r="C156" s="1009"/>
      <c r="D156" s="371">
        <f>'Finl Stmts'!D149</f>
        <v>420.83</v>
      </c>
      <c r="E156" s="1011"/>
      <c r="F156" s="371">
        <f>'Finl Stmts'!F149</f>
        <v>505.1</v>
      </c>
      <c r="G156" s="1013"/>
      <c r="H156" s="1000"/>
      <c r="I156" s="1000"/>
      <c r="J156" s="989"/>
    </row>
    <row r="157" spans="1:10" ht="15" customHeight="1" thickBot="1">
      <c r="A157" s="597"/>
      <c r="B157" s="334"/>
      <c r="C157" s="596"/>
      <c r="D157" s="595"/>
      <c r="E157" s="596"/>
      <c r="F157" s="595"/>
      <c r="G157" s="596"/>
      <c r="H157" s="985"/>
      <c r="I157" s="985"/>
      <c r="J157" s="990"/>
    </row>
    <row r="158" spans="1:10" ht="12" customHeight="1" thickBot="1">
      <c r="A158" s="991" t="s">
        <v>355</v>
      </c>
      <c r="B158" s="992"/>
      <c r="C158" s="993"/>
      <c r="D158" s="992"/>
      <c r="E158" s="993"/>
      <c r="F158" s="992"/>
      <c r="G158" s="994"/>
      <c r="H158" s="670"/>
      <c r="I158" s="596"/>
      <c r="J158" s="294"/>
    </row>
    <row r="159" spans="1:10" ht="28.5" customHeight="1">
      <c r="A159" s="673" t="s">
        <v>356</v>
      </c>
      <c r="B159" s="683">
        <f>'Finl Stmts'!B133</f>
        <v>0</v>
      </c>
      <c r="C159" s="980">
        <f>B159/B160</f>
        <v>0</v>
      </c>
      <c r="D159" s="683">
        <f>'Finl Stmts'!D133</f>
        <v>0</v>
      </c>
      <c r="E159" s="980">
        <f>D159/D160</f>
        <v>0</v>
      </c>
      <c r="F159" s="683">
        <f>'Finl Stmts'!F133</f>
        <v>0</v>
      </c>
      <c r="G159" s="982">
        <f>F159/F160</f>
        <v>0</v>
      </c>
      <c r="H159" s="984" t="s">
        <v>210</v>
      </c>
      <c r="I159" s="986" t="s">
        <v>357</v>
      </c>
      <c r="J159" s="988" t="s">
        <v>358</v>
      </c>
    </row>
    <row r="160" spans="1:10" ht="21.95" customHeight="1" thickBot="1">
      <c r="A160" s="672" t="s">
        <v>359</v>
      </c>
      <c r="B160" s="683">
        <f>'Finl Stmts'!B85</f>
        <v>76250</v>
      </c>
      <c r="C160" s="981"/>
      <c r="D160" s="683">
        <f>'Finl Stmts'!D85</f>
        <v>67263</v>
      </c>
      <c r="E160" s="981"/>
      <c r="F160" s="683">
        <f>'Finl Stmts'!F85</f>
        <v>14553</v>
      </c>
      <c r="G160" s="983"/>
      <c r="H160" s="985"/>
      <c r="I160" s="987"/>
      <c r="J160" s="989"/>
    </row>
    <row r="161" spans="1:10" ht="9.9499999999999993" customHeight="1" thickBot="1">
      <c r="A161" s="672"/>
      <c r="B161" s="648"/>
      <c r="C161" s="648"/>
      <c r="D161" s="648"/>
      <c r="E161" s="648"/>
      <c r="F161" s="648"/>
      <c r="G161" s="648"/>
      <c r="H161" s="670"/>
      <c r="I161" s="596"/>
      <c r="J161" s="990"/>
    </row>
    <row r="162" spans="1:10" ht="21.95" customHeight="1" thickBot="1">
      <c r="A162" s="1002" t="s">
        <v>360</v>
      </c>
      <c r="B162" s="992"/>
      <c r="C162" s="993"/>
      <c r="D162" s="992"/>
      <c r="E162" s="993"/>
      <c r="F162" s="992"/>
      <c r="G162" s="994"/>
      <c r="H162" s="670"/>
      <c r="I162" s="596"/>
      <c r="J162" s="294"/>
    </row>
    <row r="163" spans="1:10" ht="21.95" customHeight="1">
      <c r="A163" s="676" t="s">
        <v>361</v>
      </c>
      <c r="B163" s="684">
        <f>'Finl Stmts'!B148</f>
        <v>0</v>
      </c>
      <c r="C163" s="980">
        <f>B163/B164</f>
        <v>0</v>
      </c>
      <c r="D163" s="684">
        <f>'Finl Stmts'!D148</f>
        <v>0</v>
      </c>
      <c r="E163" s="980">
        <f>D163/D164</f>
        <v>0</v>
      </c>
      <c r="F163" s="684">
        <f>'Finl Stmts'!F148</f>
        <v>0</v>
      </c>
      <c r="G163" s="982">
        <f>F163/F164</f>
        <v>0</v>
      </c>
      <c r="H163" s="984" t="s">
        <v>210</v>
      </c>
      <c r="I163" s="986" t="s">
        <v>357</v>
      </c>
      <c r="J163" s="988" t="s">
        <v>362</v>
      </c>
    </row>
    <row r="164" spans="1:10" ht="15" customHeight="1" thickBot="1">
      <c r="A164" s="677" t="s">
        <v>363</v>
      </c>
      <c r="B164" s="684">
        <f>'Finl Stmts'!B149</f>
        <v>241.54</v>
      </c>
      <c r="C164" s="981"/>
      <c r="D164" s="684">
        <f>'Finl Stmts'!D149</f>
        <v>420.83</v>
      </c>
      <c r="E164" s="981"/>
      <c r="F164" s="684">
        <f>'Finl Stmts'!F149</f>
        <v>505.1</v>
      </c>
      <c r="G164" s="983"/>
      <c r="H164" s="985"/>
      <c r="I164" s="987"/>
      <c r="J164" s="989"/>
    </row>
    <row r="165" spans="1:10" ht="8.1" customHeight="1" thickBot="1">
      <c r="A165" s="672"/>
      <c r="B165" s="648"/>
      <c r="C165" s="648"/>
      <c r="D165" s="648"/>
      <c r="E165" s="648"/>
      <c r="F165" s="648"/>
      <c r="G165" s="648"/>
      <c r="H165" s="670"/>
      <c r="I165" s="596"/>
      <c r="J165" s="990"/>
    </row>
    <row r="166" spans="1:10" ht="15" customHeight="1" thickBot="1">
      <c r="A166" s="1003" t="s">
        <v>364</v>
      </c>
      <c r="B166" s="1004"/>
      <c r="C166" s="1005"/>
      <c r="D166" s="1004"/>
      <c r="E166" s="1005"/>
      <c r="F166" s="1004"/>
      <c r="G166" s="1005"/>
      <c r="H166" s="1005"/>
      <c r="I166" s="1006"/>
      <c r="J166" s="557"/>
    </row>
    <row r="167" spans="1:10" ht="39.75" customHeight="1">
      <c r="A167" s="675" t="s">
        <v>365</v>
      </c>
      <c r="B167" s="684">
        <f>('Finl Stmts'!B149-'Finl Stmts'!D149)+'Finl Stmts'!B148</f>
        <v>-179.29</v>
      </c>
      <c r="C167" s="980">
        <f>B167/B168</f>
        <v>-0.42603901813083667</v>
      </c>
      <c r="D167" s="684">
        <f>('Finl Stmts'!D149-'Finl Stmts'!F149)+'Finl Stmts'!D148</f>
        <v>-84.270000000000039</v>
      </c>
      <c r="E167" s="980">
        <f>D167/D168</f>
        <v>-0.16683824985151463</v>
      </c>
      <c r="F167" s="684" t="s">
        <v>366</v>
      </c>
      <c r="G167" s="982"/>
      <c r="H167" s="984" t="s">
        <v>222</v>
      </c>
      <c r="I167" s="986" t="s">
        <v>367</v>
      </c>
      <c r="J167" s="988" t="s">
        <v>368</v>
      </c>
    </row>
    <row r="168" spans="1:10" ht="15" customHeight="1" thickBot="1">
      <c r="A168" s="540" t="s">
        <v>369</v>
      </c>
      <c r="B168" s="685">
        <f>'Finl Stmts'!D149</f>
        <v>420.83</v>
      </c>
      <c r="C168" s="981"/>
      <c r="D168" s="685">
        <f>'Finl Stmts'!F149</f>
        <v>505.1</v>
      </c>
      <c r="E168" s="981"/>
      <c r="F168" s="685"/>
      <c r="G168" s="983"/>
      <c r="H168" s="985"/>
      <c r="I168" s="987"/>
      <c r="J168" s="989"/>
    </row>
    <row r="169" spans="1:10" ht="15" customHeight="1" thickBot="1">
      <c r="A169" s="314"/>
      <c r="B169" s="1330"/>
      <c r="C169" s="1330"/>
      <c r="D169" s="1330"/>
      <c r="E169" s="1330"/>
      <c r="F169" s="1330"/>
      <c r="G169" s="1330"/>
      <c r="H169" s="294"/>
      <c r="I169" s="291"/>
      <c r="J169" s="990"/>
    </row>
    <row r="170" spans="1:10" ht="15.75" customHeight="1" thickBot="1">
      <c r="A170" s="1091" t="s">
        <v>370</v>
      </c>
      <c r="B170" s="1092"/>
      <c r="C170" s="1092"/>
      <c r="D170" s="1092"/>
      <c r="E170" s="1092"/>
      <c r="F170" s="1092"/>
      <c r="G170" s="1092"/>
      <c r="H170" s="1092"/>
      <c r="I170" s="1092"/>
      <c r="J170" s="1093"/>
    </row>
    <row r="171" spans="1:10" ht="42.95" customHeight="1" thickBot="1">
      <c r="A171" s="319" t="s">
        <v>371</v>
      </c>
      <c r="B171" s="1150">
        <f>B134</f>
        <v>2023</v>
      </c>
      <c r="C171" s="1331"/>
      <c r="D171" s="1150">
        <f>D134</f>
        <v>2022</v>
      </c>
      <c r="E171" s="1331"/>
      <c r="F171" s="1150">
        <f>F134</f>
        <v>2021</v>
      </c>
      <c r="G171" s="1331"/>
      <c r="H171" s="291"/>
      <c r="I171" s="291"/>
      <c r="J171" s="306"/>
    </row>
    <row r="172" spans="1:10" ht="14.25" customHeight="1">
      <c r="A172" s="55" t="s">
        <v>372</v>
      </c>
      <c r="B172" s="220">
        <f>C110</f>
        <v>3.7961291928558093E-2</v>
      </c>
      <c r="C172" s="221"/>
      <c r="D172" s="222">
        <f>E110</f>
        <v>3.2178111249207067E-2</v>
      </c>
      <c r="E172" s="223"/>
      <c r="F172" s="222">
        <f>G110</f>
        <v>7.0727276438529527E-3</v>
      </c>
      <c r="G172" s="688"/>
      <c r="H172" s="689"/>
      <c r="I172" s="689"/>
      <c r="J172" s="1073" t="s">
        <v>373</v>
      </c>
    </row>
    <row r="173" spans="1:10" ht="39.75" customHeight="1">
      <c r="A173" s="55" t="s">
        <v>374</v>
      </c>
      <c r="B173" s="224">
        <f>C55</f>
        <v>1.4091826547671749</v>
      </c>
      <c r="C173" s="225"/>
      <c r="D173" s="226">
        <f>E55</f>
        <v>1.4890768023587766</v>
      </c>
      <c r="E173" s="227"/>
      <c r="F173" s="226">
        <f>G55</f>
        <v>1.4837364722984978</v>
      </c>
      <c r="G173" s="690"/>
      <c r="H173" s="689" t="s">
        <v>257</v>
      </c>
      <c r="I173" s="877" t="s">
        <v>375</v>
      </c>
      <c r="J173" s="1303"/>
    </row>
    <row r="174" spans="1:10" ht="14.25" customHeight="1" thickBot="1">
      <c r="A174" s="60" t="s">
        <v>376</v>
      </c>
      <c r="B174" s="228">
        <f>C148</f>
        <v>1.3266114929647499</v>
      </c>
      <c r="C174" s="225"/>
      <c r="D174" s="229">
        <f>E148</f>
        <v>1.3296283090433849</v>
      </c>
      <c r="E174" s="227"/>
      <c r="F174" s="229">
        <f>G148</f>
        <v>1.4101803013801988</v>
      </c>
      <c r="G174" s="690"/>
      <c r="H174" s="689"/>
      <c r="I174" s="689"/>
      <c r="J174" s="1303"/>
    </row>
    <row r="175" spans="1:10" ht="14.85" customHeight="1" thickBot="1">
      <c r="A175" s="41" t="s">
        <v>377</v>
      </c>
      <c r="B175" s="230">
        <f>B172*B173*B174</f>
        <v>7.0966278073024719E-2</v>
      </c>
      <c r="C175" s="231"/>
      <c r="D175" s="230">
        <f>D172*D173*D174</f>
        <v>6.3710043251969745E-2</v>
      </c>
      <c r="E175" s="232"/>
      <c r="F175" s="230">
        <f>F172*F173*F174</f>
        <v>1.4798522283200581E-2</v>
      </c>
      <c r="G175" s="233"/>
      <c r="H175" s="691"/>
      <c r="I175" s="691"/>
      <c r="J175" s="1290"/>
    </row>
    <row r="176" spans="1:10" ht="14.85" customHeight="1" thickBot="1">
      <c r="A176" s="234"/>
      <c r="B176" s="235"/>
      <c r="C176" s="236"/>
      <c r="D176" s="235"/>
      <c r="E176" s="237"/>
      <c r="F176" s="238"/>
      <c r="G176" s="239"/>
      <c r="H176" s="302"/>
      <c r="I176" s="302"/>
      <c r="J176" s="1291"/>
    </row>
    <row r="177" spans="1:10" ht="26.25" customHeight="1">
      <c r="A177" s="686" t="s">
        <v>378</v>
      </c>
      <c r="B177" s="562">
        <f>'Finl Stmts'!B149*'Finl Stmts'!B150</f>
        <v>2957174.2199999997</v>
      </c>
      <c r="C177" s="6"/>
      <c r="D177" s="240">
        <f>'Finl Stmts'!D149*'Finl Stmts'!D150</f>
        <v>5183363.1099999994</v>
      </c>
      <c r="E177" s="6"/>
      <c r="F177" s="240">
        <f>'Finl Stmts'!F149*'Finl Stmts'!F150</f>
        <v>6202628</v>
      </c>
      <c r="G177" s="360"/>
      <c r="H177" s="563" t="s">
        <v>222</v>
      </c>
      <c r="I177" s="645" t="s">
        <v>379</v>
      </c>
      <c r="J177" s="645" t="s">
        <v>380</v>
      </c>
    </row>
    <row r="178" spans="1:10" ht="26.85" customHeight="1" thickTop="1" thickBot="1">
      <c r="A178" s="687" t="s">
        <v>381</v>
      </c>
      <c r="B178" s="241" t="s">
        <v>382</v>
      </c>
      <c r="C178" s="242"/>
      <c r="D178" s="207" t="s">
        <v>383</v>
      </c>
      <c r="E178" s="243"/>
      <c r="F178" s="244" t="s">
        <v>384</v>
      </c>
      <c r="G178" s="692" t="e">
        <f>D178*F178</f>
        <v>#VALUE!</v>
      </c>
      <c r="H178" s="693"/>
      <c r="I178" s="693"/>
      <c r="J178" s="645"/>
    </row>
    <row r="179" spans="1:10" ht="12.75" customHeight="1" thickTop="1"/>
  </sheetData>
  <mergeCells count="291">
    <mergeCell ref="J54:J57"/>
    <mergeCell ref="J60:J63"/>
    <mergeCell ref="G69:G70"/>
    <mergeCell ref="E69:E70"/>
    <mergeCell ref="G65:G66"/>
    <mergeCell ref="A54:I54"/>
    <mergeCell ref="G55:G56"/>
    <mergeCell ref="C35:C36"/>
    <mergeCell ref="C51:C52"/>
    <mergeCell ref="C55:C56"/>
    <mergeCell ref="E55:E56"/>
    <mergeCell ref="G61:G62"/>
    <mergeCell ref="I61:I63"/>
    <mergeCell ref="A68:J68"/>
    <mergeCell ref="J65:J66"/>
    <mergeCell ref="G27:G28"/>
    <mergeCell ref="E31:E32"/>
    <mergeCell ref="G31:G32"/>
    <mergeCell ref="E51:E52"/>
    <mergeCell ref="G51:G52"/>
    <mergeCell ref="E35:E36"/>
    <mergeCell ref="G35:G36"/>
    <mergeCell ref="J47:J48"/>
    <mergeCell ref="J50:J53"/>
    <mergeCell ref="A30:I30"/>
    <mergeCell ref="C31:C32"/>
    <mergeCell ref="J79:J82"/>
    <mergeCell ref="H65:H66"/>
    <mergeCell ref="I65:I66"/>
    <mergeCell ref="H69:H71"/>
    <mergeCell ref="I69:I71"/>
    <mergeCell ref="I73:I75"/>
    <mergeCell ref="A72:J72"/>
    <mergeCell ref="H79:H82"/>
    <mergeCell ref="I79:I82"/>
    <mergeCell ref="H73:H75"/>
    <mergeCell ref="C69:C70"/>
    <mergeCell ref="J69:J70"/>
    <mergeCell ref="J114:J116"/>
    <mergeCell ref="C106:C107"/>
    <mergeCell ref="E106:E107"/>
    <mergeCell ref="G106:G107"/>
    <mergeCell ref="J106:J108"/>
    <mergeCell ref="E110:E111"/>
    <mergeCell ref="G110:G111"/>
    <mergeCell ref="C110:C111"/>
    <mergeCell ref="A117:G117"/>
    <mergeCell ref="J117:J120"/>
    <mergeCell ref="H106:H108"/>
    <mergeCell ref="I106:I108"/>
    <mergeCell ref="H110:H112"/>
    <mergeCell ref="I110:I112"/>
    <mergeCell ref="H114:H116"/>
    <mergeCell ref="I114:I116"/>
    <mergeCell ref="H118:H120"/>
    <mergeCell ref="I118:I120"/>
    <mergeCell ref="G114:G115"/>
    <mergeCell ref="D101:E101"/>
    <mergeCell ref="F101:G101"/>
    <mergeCell ref="E84:E85"/>
    <mergeCell ref="G73:G74"/>
    <mergeCell ref="A76:J76"/>
    <mergeCell ref="E93:E94"/>
    <mergeCell ref="C93:C94"/>
    <mergeCell ref="C80:C81"/>
    <mergeCell ref="E80:E81"/>
    <mergeCell ref="A77:J77"/>
    <mergeCell ref="H90:H91"/>
    <mergeCell ref="I90:I91"/>
    <mergeCell ref="C97:C98"/>
    <mergeCell ref="E97:E98"/>
    <mergeCell ref="G97:G98"/>
    <mergeCell ref="C73:C74"/>
    <mergeCell ref="E73:E74"/>
    <mergeCell ref="A89:G89"/>
    <mergeCell ref="E90:E91"/>
    <mergeCell ref="G90:G91"/>
    <mergeCell ref="H84:H86"/>
    <mergeCell ref="I84:I86"/>
    <mergeCell ref="B88:C88"/>
    <mergeCell ref="D88:E88"/>
    <mergeCell ref="J122:J124"/>
    <mergeCell ref="A129:I129"/>
    <mergeCell ref="H130:H132"/>
    <mergeCell ref="I130:I132"/>
    <mergeCell ref="G130:G131"/>
    <mergeCell ref="H136:H138"/>
    <mergeCell ref="I136:I138"/>
    <mergeCell ref="J125:J128"/>
    <mergeCell ref="A125:G125"/>
    <mergeCell ref="B169:C169"/>
    <mergeCell ref="E136:E137"/>
    <mergeCell ref="G136:G137"/>
    <mergeCell ref="B135:J135"/>
    <mergeCell ref="J136:J138"/>
    <mergeCell ref="J140:J142"/>
    <mergeCell ref="J144:J146"/>
    <mergeCell ref="A121:G121"/>
    <mergeCell ref="E126:E127"/>
    <mergeCell ref="G126:G127"/>
    <mergeCell ref="J129:J132"/>
    <mergeCell ref="H140:H142"/>
    <mergeCell ref="I140:I142"/>
    <mergeCell ref="H122:H123"/>
    <mergeCell ref="I122:I123"/>
    <mergeCell ref="H125:H127"/>
    <mergeCell ref="I125:I127"/>
    <mergeCell ref="C122:C123"/>
    <mergeCell ref="C136:C137"/>
    <mergeCell ref="C140:C141"/>
    <mergeCell ref="E122:E123"/>
    <mergeCell ref="G122:G123"/>
    <mergeCell ref="E140:E141"/>
    <mergeCell ref="A139:G139"/>
    <mergeCell ref="B171:C171"/>
    <mergeCell ref="D171:E171"/>
    <mergeCell ref="F171:G171"/>
    <mergeCell ref="C40:C41"/>
    <mergeCell ref="E40:E41"/>
    <mergeCell ref="G40:G41"/>
    <mergeCell ref="B59:C59"/>
    <mergeCell ref="D59:E59"/>
    <mergeCell ref="F59:G59"/>
    <mergeCell ref="C102:C103"/>
    <mergeCell ref="G102:G103"/>
    <mergeCell ref="E102:E103"/>
    <mergeCell ref="B134:C134"/>
    <mergeCell ref="D134:E134"/>
    <mergeCell ref="F134:G134"/>
    <mergeCell ref="C126:C127"/>
    <mergeCell ref="B57:C57"/>
    <mergeCell ref="D57:E57"/>
    <mergeCell ref="F57:G57"/>
    <mergeCell ref="G118:G119"/>
    <mergeCell ref="A60:I60"/>
    <mergeCell ref="A64:I64"/>
    <mergeCell ref="F88:G88"/>
    <mergeCell ref="C84:C85"/>
    <mergeCell ref="J5:J8"/>
    <mergeCell ref="J9:J11"/>
    <mergeCell ref="J17:J18"/>
    <mergeCell ref="J20:J22"/>
    <mergeCell ref="J26:J29"/>
    <mergeCell ref="J30:J32"/>
    <mergeCell ref="J34:J37"/>
    <mergeCell ref="J39:J41"/>
    <mergeCell ref="J44:J45"/>
    <mergeCell ref="J13:J15"/>
    <mergeCell ref="F25:G25"/>
    <mergeCell ref="A96:G96"/>
    <mergeCell ref="J101:J104"/>
    <mergeCell ref="J92:J94"/>
    <mergeCell ref="J97:J98"/>
    <mergeCell ref="I9:I11"/>
    <mergeCell ref="H13:H15"/>
    <mergeCell ref="I13:I15"/>
    <mergeCell ref="I35:I37"/>
    <mergeCell ref="I55:I57"/>
    <mergeCell ref="A39:I39"/>
    <mergeCell ref="H40:H41"/>
    <mergeCell ref="I40:I41"/>
    <mergeCell ref="A44:I44"/>
    <mergeCell ref="A47:I47"/>
    <mergeCell ref="A50:I50"/>
    <mergeCell ref="H51:H53"/>
    <mergeCell ref="I51:I53"/>
    <mergeCell ref="C21:C22"/>
    <mergeCell ref="G21:G22"/>
    <mergeCell ref="E21:E22"/>
    <mergeCell ref="A9:G9"/>
    <mergeCell ref="A92:G92"/>
    <mergeCell ref="B101:C101"/>
    <mergeCell ref="B25:C25"/>
    <mergeCell ref="E65:E66"/>
    <mergeCell ref="E114:E115"/>
    <mergeCell ref="F3:G3"/>
    <mergeCell ref="A34:H34"/>
    <mergeCell ref="H61:H63"/>
    <mergeCell ref="J89:J91"/>
    <mergeCell ref="J84:J86"/>
    <mergeCell ref="C61:C62"/>
    <mergeCell ref="C65:C66"/>
    <mergeCell ref="E61:E62"/>
    <mergeCell ref="C90:C91"/>
    <mergeCell ref="A78:J78"/>
    <mergeCell ref="J110:J112"/>
    <mergeCell ref="A105:G105"/>
    <mergeCell ref="H93:H95"/>
    <mergeCell ref="I93:I95"/>
    <mergeCell ref="H97:H98"/>
    <mergeCell ref="I97:I98"/>
    <mergeCell ref="H102:H104"/>
    <mergeCell ref="I102:I104"/>
    <mergeCell ref="G93:G94"/>
    <mergeCell ref="G14:G15"/>
    <mergeCell ref="D25:E25"/>
    <mergeCell ref="B3:C3"/>
    <mergeCell ref="D3:E3"/>
    <mergeCell ref="C6:C7"/>
    <mergeCell ref="C10:C11"/>
    <mergeCell ref="C27:C28"/>
    <mergeCell ref="J172:J176"/>
    <mergeCell ref="H1:H3"/>
    <mergeCell ref="H9:H11"/>
    <mergeCell ref="H5:H8"/>
    <mergeCell ref="H20:H22"/>
    <mergeCell ref="H35:H37"/>
    <mergeCell ref="H55:H57"/>
    <mergeCell ref="A87:J87"/>
    <mergeCell ref="A24:J24"/>
    <mergeCell ref="A4:J4"/>
    <mergeCell ref="A58:J58"/>
    <mergeCell ref="A100:J100"/>
    <mergeCell ref="A133:J133"/>
    <mergeCell ref="A170:J170"/>
    <mergeCell ref="I1:I3"/>
    <mergeCell ref="J1:J3"/>
    <mergeCell ref="C114:C115"/>
    <mergeCell ref="B1:G1"/>
    <mergeCell ref="B2:G2"/>
    <mergeCell ref="I5:I8"/>
    <mergeCell ref="H26:H29"/>
    <mergeCell ref="I26:I29"/>
    <mergeCell ref="A17:I17"/>
    <mergeCell ref="A20:G20"/>
    <mergeCell ref="A26:G26"/>
    <mergeCell ref="A13:G13"/>
    <mergeCell ref="I20:I22"/>
    <mergeCell ref="A147:G147"/>
    <mergeCell ref="A5:G5"/>
    <mergeCell ref="A143:G143"/>
    <mergeCell ref="G140:G141"/>
    <mergeCell ref="A132:G132"/>
    <mergeCell ref="C130:C131"/>
    <mergeCell ref="E130:E131"/>
    <mergeCell ref="C118:C119"/>
    <mergeCell ref="E118:E119"/>
    <mergeCell ref="C14:C15"/>
    <mergeCell ref="E14:E15"/>
    <mergeCell ref="E6:E7"/>
    <mergeCell ref="G6:G7"/>
    <mergeCell ref="E10:E11"/>
    <mergeCell ref="G10:G11"/>
    <mergeCell ref="E27:E28"/>
    <mergeCell ref="A150:G150"/>
    <mergeCell ref="A154:G154"/>
    <mergeCell ref="C144:C145"/>
    <mergeCell ref="C148:C149"/>
    <mergeCell ref="E148:E149"/>
    <mergeCell ref="G148:G149"/>
    <mergeCell ref="E144:E145"/>
    <mergeCell ref="G144:G145"/>
    <mergeCell ref="E151:E153"/>
    <mergeCell ref="G151:G153"/>
    <mergeCell ref="C167:C168"/>
    <mergeCell ref="E167:E168"/>
    <mergeCell ref="G167:G168"/>
    <mergeCell ref="H167:H168"/>
    <mergeCell ref="I167:I168"/>
    <mergeCell ref="J167:J169"/>
    <mergeCell ref="H144:H146"/>
    <mergeCell ref="I144:I146"/>
    <mergeCell ref="H147:H149"/>
    <mergeCell ref="I147:I149"/>
    <mergeCell ref="H151:H153"/>
    <mergeCell ref="I151:I153"/>
    <mergeCell ref="D169:E169"/>
    <mergeCell ref="F169:G169"/>
    <mergeCell ref="A162:G162"/>
    <mergeCell ref="A166:I166"/>
    <mergeCell ref="C151:C153"/>
    <mergeCell ref="J151:J153"/>
    <mergeCell ref="C155:C156"/>
    <mergeCell ref="E155:E156"/>
    <mergeCell ref="G155:G156"/>
    <mergeCell ref="H155:H157"/>
    <mergeCell ref="I155:I157"/>
    <mergeCell ref="J155:J157"/>
    <mergeCell ref="C159:C160"/>
    <mergeCell ref="E159:E160"/>
    <mergeCell ref="G159:G160"/>
    <mergeCell ref="H159:H160"/>
    <mergeCell ref="I159:I160"/>
    <mergeCell ref="J159:J161"/>
    <mergeCell ref="A158:G158"/>
    <mergeCell ref="C163:C164"/>
    <mergeCell ref="E163:E164"/>
    <mergeCell ref="G163:G164"/>
    <mergeCell ref="H163:H164"/>
    <mergeCell ref="I163:I164"/>
    <mergeCell ref="J163:J165"/>
  </mergeCells>
  <pageMargins left="0.5" right="0.5" top="0.5" bottom="0.5" header="0.5" footer="0.25"/>
  <pageSetup scale="89" orientation="landscape"/>
  <headerFooter>
    <oddFooter>&amp;C&amp;"Helvetica Neue,Regular"&amp;12&amp;K000000&amp;P</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9"/>
  <sheetViews>
    <sheetView showGridLines="0" workbookViewId="0">
      <pane xSplit="2" ySplit="2" topLeftCell="C3" activePane="bottomRight" state="frozen"/>
      <selection pane="bottomRight" activeCell="I17" sqref="I17:I19"/>
      <selection pane="bottomLeft"/>
      <selection pane="topRight"/>
    </sheetView>
  </sheetViews>
  <sheetFormatPr defaultColWidth="16.28515625" defaultRowHeight="13.5" customHeight="1"/>
  <cols>
    <col min="1" max="1" width="4.85546875" style="1" customWidth="1"/>
    <col min="2" max="2" width="59.140625" style="1" customWidth="1"/>
    <col min="3" max="3" width="13.7109375" style="1" customWidth="1"/>
    <col min="4" max="4" width="1.85546875" style="1" customWidth="1"/>
    <col min="5" max="5" width="14.42578125" style="1" customWidth="1"/>
    <col min="6" max="6" width="1.42578125" style="1" customWidth="1"/>
    <col min="7" max="7" width="12.7109375" style="1" customWidth="1"/>
    <col min="8" max="8" width="1.42578125" style="1" customWidth="1"/>
    <col min="9" max="9" width="73.28515625" style="1" customWidth="1"/>
    <col min="10" max="10" width="16.28515625" style="1" customWidth="1"/>
    <col min="11" max="16384" width="16.28515625" style="1"/>
  </cols>
  <sheetData>
    <row r="1" spans="1:9" ht="14.45" customHeight="1">
      <c r="A1" s="1240"/>
      <c r="B1" s="1240"/>
      <c r="C1" s="1240"/>
      <c r="D1" s="1240"/>
      <c r="E1" s="1240"/>
      <c r="F1" s="1240"/>
      <c r="G1" s="1240"/>
      <c r="H1" s="1240"/>
      <c r="I1" s="1240"/>
    </row>
    <row r="2" spans="1:9" ht="13.35" customHeight="1">
      <c r="A2" s="245"/>
      <c r="B2" s="246" t="s">
        <v>385</v>
      </c>
      <c r="C2" s="247"/>
      <c r="D2" s="247"/>
      <c r="E2" s="247"/>
      <c r="F2" s="247"/>
      <c r="G2" s="247"/>
      <c r="H2" s="247"/>
      <c r="I2" s="248"/>
    </row>
    <row r="3" spans="1:9" ht="13.35" customHeight="1">
      <c r="A3" s="249"/>
      <c r="B3" s="250" t="s">
        <v>184</v>
      </c>
      <c r="C3" s="251"/>
      <c r="D3" s="252"/>
      <c r="E3" s="252"/>
      <c r="F3" s="252"/>
      <c r="G3" s="252"/>
      <c r="H3" s="252"/>
      <c r="I3" s="253"/>
    </row>
    <row r="4" spans="1:9" ht="13.7" customHeight="1" thickBot="1">
      <c r="A4" s="254" t="s">
        <v>386</v>
      </c>
      <c r="B4" s="255"/>
      <c r="C4" s="256"/>
      <c r="D4" s="257"/>
      <c r="E4" s="257"/>
      <c r="F4" s="257"/>
      <c r="G4" s="257"/>
      <c r="H4" s="257"/>
      <c r="I4" s="258"/>
    </row>
    <row r="5" spans="1:9" ht="25.7" customHeight="1" thickBot="1">
      <c r="A5" s="259"/>
      <c r="B5" s="260" t="s">
        <v>387</v>
      </c>
      <c r="C5" s="1243"/>
      <c r="D5" s="1332"/>
      <c r="E5" s="1244"/>
      <c r="F5" s="1332"/>
      <c r="G5" s="1244"/>
      <c r="H5" s="1332"/>
      <c r="I5" s="261" t="s">
        <v>388</v>
      </c>
    </row>
    <row r="6" spans="1:9" ht="14.85" customHeight="1" thickBot="1">
      <c r="A6" s="254" t="s">
        <v>389</v>
      </c>
      <c r="B6" s="262"/>
      <c r="C6" s="1241">
        <f>'Finl Stmts'!B4</f>
        <v>2023</v>
      </c>
      <c r="D6" s="1332"/>
      <c r="E6" s="1242">
        <f>'Finl Stmts'!D4</f>
        <v>2022</v>
      </c>
      <c r="F6" s="1332"/>
      <c r="G6" s="1242">
        <f>'Finl Stmts'!F4</f>
        <v>2021</v>
      </c>
      <c r="H6" s="1332"/>
      <c r="I6" s="263"/>
    </row>
    <row r="7" spans="1:9" ht="14.85" customHeight="1" thickBot="1">
      <c r="A7" s="264"/>
      <c r="B7" s="255"/>
      <c r="C7" s="1232" t="s">
        <v>390</v>
      </c>
      <c r="D7" s="1233"/>
      <c r="E7" s="1233"/>
      <c r="F7" s="1233"/>
      <c r="G7" s="1233"/>
      <c r="H7" s="1233"/>
      <c r="I7" s="1234"/>
    </row>
    <row r="8" spans="1:9" ht="98.25" customHeight="1">
      <c r="A8" s="267" t="s">
        <v>391</v>
      </c>
      <c r="B8" s="323" t="s">
        <v>392</v>
      </c>
      <c r="C8" s="589">
        <f>'Finl Stmts'!B77+'Finl Stmts'!B95</f>
        <v>188142</v>
      </c>
      <c r="D8" s="590"/>
      <c r="E8" s="590">
        <f>'Finl Stmts'!D77+'Finl Stmts'!D95</f>
        <v>172147</v>
      </c>
      <c r="F8" s="590"/>
      <c r="G8" s="590">
        <f>'Finl Stmts'!F77+'Finl Stmts'!F95</f>
        <v>80093</v>
      </c>
      <c r="H8" s="269"/>
      <c r="I8" s="1228" t="s">
        <v>393</v>
      </c>
    </row>
    <row r="9" spans="1:9" ht="0.75" customHeight="1" thickBot="1">
      <c r="A9" s="271"/>
      <c r="B9" s="272"/>
      <c r="C9" s="589"/>
      <c r="D9" s="590"/>
      <c r="E9" s="590"/>
      <c r="F9" s="590"/>
      <c r="G9" s="590"/>
      <c r="H9" s="270"/>
      <c r="I9" s="1333"/>
    </row>
    <row r="10" spans="1:9" ht="65.25" customHeight="1">
      <c r="A10" s="267" t="s">
        <v>394</v>
      </c>
      <c r="B10" s="323" t="s">
        <v>395</v>
      </c>
      <c r="C10" s="589">
        <f>'Finl Stmts'!B77*C19</f>
        <v>74000.740000000005</v>
      </c>
      <c r="D10" s="590"/>
      <c r="E10" s="590">
        <f>'Finl Stmts'!D77*E19</f>
        <v>67185.34</v>
      </c>
      <c r="F10" s="590"/>
      <c r="G10" s="590">
        <f>'Finl Stmts'!F77*G19</f>
        <v>5917.78</v>
      </c>
      <c r="H10" s="270"/>
      <c r="I10" s="273" t="s">
        <v>396</v>
      </c>
    </row>
    <row r="11" spans="1:9" ht="78" customHeight="1">
      <c r="A11" s="264"/>
      <c r="B11" s="255"/>
      <c r="C11" s="589"/>
      <c r="D11" s="590"/>
      <c r="E11" s="590"/>
      <c r="F11" s="590"/>
      <c r="G11" s="590"/>
      <c r="H11" s="269"/>
      <c r="I11" s="1228" t="s">
        <v>397</v>
      </c>
    </row>
    <row r="12" spans="1:9" ht="45.75" customHeight="1" thickBot="1">
      <c r="A12" s="267" t="s">
        <v>398</v>
      </c>
      <c r="B12" s="323" t="s">
        <v>399</v>
      </c>
      <c r="C12" s="589">
        <f>'Finl Stmts'!B11-'Finl Stmts'!B29</f>
        <v>280222</v>
      </c>
      <c r="D12" s="590"/>
      <c r="E12" s="590">
        <f>'Finl Stmts'!D11-'Finl Stmts'!D29</f>
        <v>219002</v>
      </c>
      <c r="F12" s="590"/>
      <c r="G12" s="590">
        <f>'Finl Stmts'!F11-'Finl Stmts'!F29</f>
        <v>90235</v>
      </c>
      <c r="H12" s="269"/>
      <c r="I12" s="1333"/>
    </row>
    <row r="13" spans="1:9" ht="42.95" customHeight="1">
      <c r="A13" s="259"/>
      <c r="B13" s="497" t="s">
        <v>400</v>
      </c>
      <c r="C13" s="1235"/>
      <c r="D13" s="1236"/>
      <c r="E13" s="1236"/>
      <c r="F13" s="1236"/>
      <c r="G13" s="1236"/>
      <c r="H13" s="1236"/>
      <c r="I13" s="1234"/>
    </row>
    <row r="14" spans="1:9" ht="162.75" customHeight="1">
      <c r="A14" s="267" t="s">
        <v>401</v>
      </c>
      <c r="B14" s="323" t="s">
        <v>402</v>
      </c>
      <c r="C14" s="589">
        <f>C10+'Finl Stmts'!B95+'Finl Stmts'!B118</f>
        <v>98054.739999999991</v>
      </c>
      <c r="D14" s="590"/>
      <c r="E14" s="589">
        <f>E10+'Finl Stmts'!D95+'Finl Stmts'!D118</f>
        <v>57959.34</v>
      </c>
      <c r="F14" s="590"/>
      <c r="G14" s="589">
        <f>G10+'Finl Stmts'!F95+'Finl Stmts'!F118</f>
        <v>-69905.22</v>
      </c>
      <c r="H14" s="270"/>
      <c r="I14" s="879" t="s">
        <v>403</v>
      </c>
    </row>
    <row r="15" spans="1:9" ht="48.95" customHeight="1" thickBot="1">
      <c r="A15" s="264"/>
      <c r="B15" s="1237" t="s">
        <v>404</v>
      </c>
      <c r="C15" s="1238"/>
      <c r="D15" s="1238"/>
      <c r="E15" s="1238"/>
      <c r="F15" s="1238"/>
      <c r="G15" s="1238"/>
      <c r="H15" s="1238"/>
      <c r="I15" s="1239"/>
    </row>
    <row r="16" spans="1:9" ht="14.85" customHeight="1" thickBot="1">
      <c r="A16" s="264"/>
      <c r="B16" s="255"/>
      <c r="C16" s="274"/>
      <c r="D16" s="269"/>
      <c r="E16" s="269"/>
      <c r="F16" s="269"/>
      <c r="G16" s="269"/>
      <c r="H16" s="269"/>
      <c r="I16" s="266"/>
    </row>
    <row r="17" spans="1:9" ht="30" customHeight="1">
      <c r="A17" s="267" t="s">
        <v>405</v>
      </c>
      <c r="B17" s="323" t="s">
        <v>406</v>
      </c>
      <c r="C17" s="275">
        <f>'Finl Stmts'!B84/'Finl Stmts'!B83</f>
        <v>0.30421214001533015</v>
      </c>
      <c r="D17" s="269"/>
      <c r="E17" s="276">
        <f>'Finl Stmts'!D84/'Finl Stmts'!D83</f>
        <v>0.26437070738002538</v>
      </c>
      <c r="F17" s="269"/>
      <c r="G17" s="276">
        <f>'Finl Stmts'!F84/'Finl Stmts'!F83</f>
        <v>-1.1063829787234043</v>
      </c>
      <c r="H17" s="269"/>
      <c r="I17" s="1228" t="s">
        <v>407</v>
      </c>
    </row>
    <row r="18" spans="1:9" ht="24" customHeight="1">
      <c r="A18" s="264"/>
      <c r="B18" s="268" t="s">
        <v>408</v>
      </c>
      <c r="C18" s="275">
        <f t="shared" ref="C18:G18" si="0">0.21+0.04+0.01</f>
        <v>0.26</v>
      </c>
      <c r="D18" s="269"/>
      <c r="E18" s="276">
        <f t="shared" si="0"/>
        <v>0.26</v>
      </c>
      <c r="F18" s="276"/>
      <c r="G18" s="276">
        <f t="shared" si="0"/>
        <v>0.26</v>
      </c>
      <c r="H18" s="269"/>
      <c r="I18" s="1334"/>
    </row>
    <row r="19" spans="1:9" ht="13.7" customHeight="1" thickBot="1">
      <c r="A19" s="264"/>
      <c r="B19" s="268" t="s">
        <v>409</v>
      </c>
      <c r="C19" s="275">
        <f>1-C18</f>
        <v>0.74</v>
      </c>
      <c r="D19" s="269"/>
      <c r="E19" s="276">
        <f>1-E18</f>
        <v>0.74</v>
      </c>
      <c r="F19" s="269"/>
      <c r="G19" s="277">
        <f>1-G18</f>
        <v>0.74</v>
      </c>
      <c r="H19" s="269"/>
      <c r="I19" s="1333"/>
    </row>
    <row r="20" spans="1:9" ht="30" customHeight="1" thickBot="1">
      <c r="A20" s="264"/>
      <c r="B20" s="498"/>
      <c r="C20" s="499"/>
      <c r="D20" s="500"/>
      <c r="E20" s="501"/>
      <c r="F20" s="500"/>
      <c r="G20" s="501"/>
      <c r="H20" s="500"/>
      <c r="I20" s="502"/>
    </row>
    <row r="21" spans="1:9" ht="13.7" customHeight="1">
      <c r="A21" s="267" t="s">
        <v>410</v>
      </c>
      <c r="B21" s="278" t="s">
        <v>411</v>
      </c>
      <c r="C21" s="279" t="s">
        <v>412</v>
      </c>
      <c r="D21" s="280"/>
      <c r="E21" s="592" t="s">
        <v>413</v>
      </c>
      <c r="F21" s="280"/>
      <c r="G21" s="281"/>
      <c r="H21" s="280"/>
      <c r="I21" s="1229" t="s">
        <v>414</v>
      </c>
    </row>
    <row r="22" spans="1:9" ht="29.1" customHeight="1">
      <c r="A22" s="267" t="s">
        <v>415</v>
      </c>
      <c r="B22" s="323" t="s">
        <v>416</v>
      </c>
      <c r="C22" s="589">
        <f>'Finl Stmts'!B34-'Finl Stmts'!B33-'Finl Stmts'!B28</f>
        <v>306790</v>
      </c>
      <c r="D22" s="269"/>
      <c r="E22" s="591">
        <f>'Finl Stmts'!D34-'Finl Stmts'!D33-'Finl Stmts'!D28</f>
        <v>298084</v>
      </c>
      <c r="F22" s="269"/>
      <c r="G22" s="270">
        <f>'Finl Stmts'!F34-'Finl Stmts'!F33-'Finl Stmts'!F28</f>
        <v>341892</v>
      </c>
      <c r="H22" s="269"/>
      <c r="I22" s="1334"/>
    </row>
    <row r="23" spans="1:9" ht="13.7" customHeight="1" thickBot="1">
      <c r="A23" s="264"/>
      <c r="C23" s="589"/>
      <c r="D23" s="269"/>
      <c r="E23" s="591"/>
      <c r="F23" s="269"/>
      <c r="G23" s="270"/>
      <c r="H23" s="269"/>
      <c r="I23" s="1333"/>
    </row>
    <row r="24" spans="1:9" ht="29.1" customHeight="1">
      <c r="A24" s="267" t="s">
        <v>417</v>
      </c>
      <c r="B24" s="323" t="s">
        <v>418</v>
      </c>
      <c r="C24" s="589">
        <f>'Finl Stmts'!B28+'Finl Stmts'!B33</f>
        <v>45274</v>
      </c>
      <c r="D24" s="269"/>
      <c r="E24" s="591">
        <f>'Finl Stmts'!D28+'Finl Stmts'!D33</f>
        <v>54140</v>
      </c>
      <c r="F24" s="269"/>
      <c r="G24" s="270">
        <f>'Finl Stmts'!F28+'Finl Stmts'!F33</f>
        <v>61483</v>
      </c>
      <c r="H24" s="269"/>
      <c r="I24" s="1228" t="s">
        <v>419</v>
      </c>
    </row>
    <row r="25" spans="1:9" ht="13.7" customHeight="1" thickBot="1">
      <c r="A25" s="264"/>
      <c r="B25" s="255"/>
      <c r="C25" s="589"/>
      <c r="D25" s="269"/>
      <c r="E25" s="591"/>
      <c r="F25" s="269"/>
      <c r="G25" s="270"/>
      <c r="H25" s="269"/>
      <c r="I25" s="1333"/>
    </row>
    <row r="26" spans="1:9" ht="14.85" customHeight="1" thickBot="1">
      <c r="A26" s="267" t="s">
        <v>420</v>
      </c>
      <c r="B26" s="282" t="s">
        <v>421</v>
      </c>
      <c r="C26" s="589"/>
      <c r="D26" s="269"/>
      <c r="E26" s="591"/>
      <c r="F26" s="269"/>
      <c r="G26" s="270"/>
      <c r="H26" s="269"/>
      <c r="I26" s="266"/>
    </row>
    <row r="27" spans="1:9" ht="13.7" customHeight="1">
      <c r="A27" s="264"/>
      <c r="B27" s="323" t="s">
        <v>422</v>
      </c>
      <c r="C27" s="589">
        <f>'Finl Stmts'!B44</f>
        <v>1077929</v>
      </c>
      <c r="D27" s="269"/>
      <c r="E27" s="591">
        <f>'Finl Stmts'!D44</f>
        <v>1068549</v>
      </c>
      <c r="F27" s="269"/>
      <c r="G27" s="270">
        <f>'Finl Stmts'!F44</f>
        <v>983409</v>
      </c>
      <c r="H27" s="269"/>
      <c r="I27" s="1228" t="s">
        <v>423</v>
      </c>
    </row>
    <row r="28" spans="1:9" ht="12.95" customHeight="1">
      <c r="A28" s="264"/>
      <c r="B28" s="323" t="s">
        <v>424</v>
      </c>
      <c r="C28" s="589">
        <f>'Finl Stmts'!B37</f>
        <v>0</v>
      </c>
      <c r="D28" s="269"/>
      <c r="E28" s="591">
        <f>'Finl Stmts'!D37</f>
        <v>0</v>
      </c>
      <c r="F28" s="269"/>
      <c r="G28" s="270">
        <f>'Finl Stmts'!F37</f>
        <v>0</v>
      </c>
      <c r="H28" s="269"/>
      <c r="I28" s="1334"/>
    </row>
    <row r="29" spans="1:9" ht="12.95" customHeight="1">
      <c r="A29" s="264"/>
      <c r="B29" s="323" t="s">
        <v>425</v>
      </c>
      <c r="C29" s="589">
        <f>'Finl Stmts'!B36</f>
        <v>0</v>
      </c>
      <c r="D29" s="269"/>
      <c r="E29" s="591">
        <f>'Finl Stmts'!D36</f>
        <v>0</v>
      </c>
      <c r="F29" s="269"/>
      <c r="G29" s="270">
        <f>'Finl Stmts'!F36</f>
        <v>0</v>
      </c>
      <c r="H29" s="269"/>
      <c r="I29" s="1334"/>
    </row>
    <row r="30" spans="1:9" ht="12.95" customHeight="1" thickBot="1">
      <c r="A30" s="264"/>
      <c r="B30" s="278" t="s">
        <v>426</v>
      </c>
      <c r="C30" s="589">
        <f>SUM(C22:C29)</f>
        <v>1429993</v>
      </c>
      <c r="D30" s="269"/>
      <c r="E30" s="276">
        <f>SUM(E22:E29)</f>
        <v>1420773</v>
      </c>
      <c r="F30" s="269"/>
      <c r="G30" s="503">
        <f>SUM(G22:G29)</f>
        <v>1386784</v>
      </c>
      <c r="H30" s="269"/>
      <c r="I30" s="1333"/>
    </row>
    <row r="31" spans="1:9" ht="12.95" customHeight="1">
      <c r="A31" s="264"/>
      <c r="B31" s="278" t="s">
        <v>427</v>
      </c>
      <c r="C31" s="589">
        <f>'Finl Stmts'!B20</f>
        <v>1429993</v>
      </c>
      <c r="D31" s="269"/>
      <c r="E31" s="276">
        <f>'Finl Stmts'!D20</f>
        <v>1420773</v>
      </c>
      <c r="F31" s="269"/>
      <c r="G31" s="270">
        <f>'Finl Stmts'!F20</f>
        <v>1386784</v>
      </c>
      <c r="H31" s="269"/>
      <c r="I31" s="1335"/>
    </row>
    <row r="32" spans="1:9" ht="13.7" customHeight="1" thickBot="1">
      <c r="A32" s="264"/>
      <c r="B32" s="268" t="s">
        <v>428</v>
      </c>
      <c r="C32" s="589">
        <f>C30-C31</f>
        <v>0</v>
      </c>
      <c r="D32" s="269"/>
      <c r="E32" s="276">
        <f>E30-E31</f>
        <v>0</v>
      </c>
      <c r="F32" s="269"/>
      <c r="G32" s="270">
        <f>G30-G31</f>
        <v>0</v>
      </c>
      <c r="H32" s="269"/>
      <c r="I32" s="1333"/>
    </row>
    <row r="33" spans="1:9" ht="13.7" customHeight="1" thickBot="1">
      <c r="A33" s="264"/>
      <c r="B33" s="283"/>
      <c r="C33" s="274"/>
      <c r="D33" s="269"/>
      <c r="E33" s="269"/>
      <c r="F33" s="269"/>
      <c r="G33" s="269"/>
      <c r="H33" s="269"/>
      <c r="I33" s="265"/>
    </row>
    <row r="34" spans="1:9" ht="54.95" customHeight="1">
      <c r="A34" s="267" t="s">
        <v>429</v>
      </c>
      <c r="B34" s="268" t="s">
        <v>430</v>
      </c>
      <c r="C34" s="593">
        <f>C22/C8</f>
        <v>1.6306300560215157</v>
      </c>
      <c r="D34" s="594"/>
      <c r="E34" s="594">
        <f>E22/E8</f>
        <v>1.7315666261973779</v>
      </c>
      <c r="F34" s="269"/>
      <c r="G34" s="269"/>
      <c r="H34" s="269"/>
      <c r="I34" s="1228" t="s">
        <v>431</v>
      </c>
    </row>
    <row r="35" spans="1:9" ht="13.7" customHeight="1" thickBot="1">
      <c r="A35" s="264"/>
      <c r="B35" s="272"/>
      <c r="C35" s="504"/>
      <c r="D35" s="505"/>
      <c r="E35" s="505"/>
      <c r="F35" s="505"/>
      <c r="G35" s="505"/>
      <c r="H35" s="505"/>
      <c r="I35" s="1336"/>
    </row>
    <row r="36" spans="1:9" ht="74.099999999999994" customHeight="1">
      <c r="A36" s="267" t="s">
        <v>432</v>
      </c>
      <c r="B36" s="695" t="s">
        <v>433</v>
      </c>
      <c r="C36" s="1246" t="s">
        <v>434</v>
      </c>
      <c r="D36" s="1230"/>
      <c r="E36" s="1230"/>
      <c r="F36" s="1230"/>
      <c r="G36" s="1230"/>
      <c r="H36" s="1230"/>
      <c r="I36" s="1231"/>
    </row>
    <row r="37" spans="1:9" ht="12.95" customHeight="1">
      <c r="A37" s="264"/>
      <c r="B37" s="1217" t="s">
        <v>435</v>
      </c>
      <c r="C37" s="1245" t="s">
        <v>436</v>
      </c>
      <c r="D37" s="1220"/>
      <c r="E37" s="1220"/>
      <c r="F37" s="1220"/>
      <c r="G37" s="1220"/>
      <c r="H37" s="1220"/>
      <c r="I37" s="1221"/>
    </row>
    <row r="38" spans="1:9" ht="12.95" customHeight="1">
      <c r="A38" s="264"/>
      <c r="B38" s="1218"/>
      <c r="C38" s="1222"/>
      <c r="D38" s="1223"/>
      <c r="E38" s="1223"/>
      <c r="F38" s="1223"/>
      <c r="G38" s="1223"/>
      <c r="H38" s="1223"/>
      <c r="I38" s="1224"/>
    </row>
    <row r="39" spans="1:9" ht="88.5" customHeight="1" thickBot="1">
      <c r="A39" s="264"/>
      <c r="B39" s="1219"/>
      <c r="C39" s="1225"/>
      <c r="D39" s="1226"/>
      <c r="E39" s="1226"/>
      <c r="F39" s="1226"/>
      <c r="G39" s="1226"/>
      <c r="H39" s="1226"/>
      <c r="I39" s="1227"/>
    </row>
  </sheetData>
  <mergeCells count="20">
    <mergeCell ref="A1:I1"/>
    <mergeCell ref="C6:D6"/>
    <mergeCell ref="E6:F6"/>
    <mergeCell ref="G6:H6"/>
    <mergeCell ref="C5:D5"/>
    <mergeCell ref="E5:F5"/>
    <mergeCell ref="G5:H5"/>
    <mergeCell ref="C7:I7"/>
    <mergeCell ref="C13:I13"/>
    <mergeCell ref="I17:I19"/>
    <mergeCell ref="I11:I12"/>
    <mergeCell ref="I8:I9"/>
    <mergeCell ref="B15:I15"/>
    <mergeCell ref="B37:B39"/>
    <mergeCell ref="C37:I39"/>
    <mergeCell ref="I34:I35"/>
    <mergeCell ref="I21:I23"/>
    <mergeCell ref="I27:I32"/>
    <mergeCell ref="I24:I25"/>
    <mergeCell ref="C36:I36"/>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2021-02-27T23:25:42Z</dcterms:created>
  <dcterms:modified xsi:type="dcterms:W3CDTF">2025-03-20T22:00:24Z</dcterms:modified>
  <cp:category/>
  <cp:contentStatus/>
</cp:coreProperties>
</file>